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hông số" sheetId="2" state="visible" r:id="rId2"/>
    <sheet xmlns:r="http://schemas.openxmlformats.org/officeDocument/2006/relationships" name="Chi phí nâng cấp" sheetId="3" state="visible" r:id="rId3"/>
    <sheet xmlns:r="http://schemas.openxmlformats.org/officeDocument/2006/relationships" name="Đường cong tầng" sheetId="4" state="visible" r:id="rId4"/>
    <sheet xmlns:r="http://schemas.openxmlformats.org/officeDocument/2006/relationships" name="Boss" sheetId="5" state="visible" r:id="rId5"/>
    <sheet xmlns:r="http://schemas.openxmlformats.org/officeDocument/2006/relationships" name="Kiểm chứng build" sheetId="6" state="visible" r:id="rId6"/>
    <sheet xmlns:r="http://schemas.openxmlformats.org/officeDocument/2006/relationships" name="Biên theo b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2" fontId="6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5" fillId="3" borderId="1" pivotButton="0" quotePrefix="0" xfId="0"/>
    <xf numFmtId="164" fontId="5" fillId="3" borderId="1" pivotButton="0" quotePrefix="0" xfId="0"/>
    <xf numFmtId="9" fontId="5" fillId="3" borderId="1" pivotButton="0" quotePrefix="0" xfId="0"/>
    <xf numFmtId="2" fontId="5" fillId="3" borderId="1" pivotButton="0" quotePrefix="0" xfId="0"/>
    <xf numFmtId="1" fontId="5" fillId="3" borderId="1" pivotButton="0" quotePrefix="0" xfId="0"/>
    <xf numFmtId="1" fontId="6" fillId="4" borderId="1" pivotButton="0" quotePrefix="0" xfId="0"/>
    <xf numFmtId="0" fontId="7" fillId="5" borderId="1" applyAlignment="1" pivotButton="0" quotePrefix="0" xfId="0">
      <alignment horizontal="center"/>
    </xf>
    <xf numFmtId="1" fontId="4" fillId="0" borderId="0" pivotButton="0" quotePrefix="0" xfId="0"/>
    <xf numFmtId="3" fontId="4" fillId="0" borderId="0" pivotButton="0" quotePrefix="0" xfId="0"/>
    <xf numFmtId="1" fontId="4" fillId="0" borderId="1" pivotButton="0" quotePrefix="0" xfId="0"/>
    <xf numFmtId="1" fontId="6" fillId="0" borderId="0" pivotButton="0" quotePrefix="0" xfId="0"/>
    <xf numFmtId="9" fontId="6" fillId="0" borderId="0" pivotButton="0" quotePrefix="0" xfId="0"/>
    <xf numFmtId="0" fontId="7" fillId="5" borderId="1" applyAlignment="1" pivotButton="0" quotePrefix="0" xfId="0">
      <alignment horizontal="center" wrapText="1"/>
    </xf>
    <xf numFmtId="165" fontId="4" fillId="0" borderId="0" pivotButton="0" quotePrefix="0" xfId="0"/>
    <xf numFmtId="165" fontId="5" fillId="3" borderId="1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center"/>
    </xf>
    <xf numFmtId="0" fontId="7" fillId="5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8" customWidth="1" min="1" max="1"/>
    <col width="22" customWidth="1" min="2" max="2"/>
  </cols>
  <sheetData>
    <row r="1">
      <c r="A1" s="1" t="inlineStr">
        <is>
          <t>BẢNG CÂN BẰNG — TOWER RPG</t>
        </is>
      </c>
    </row>
    <row r="2"/>
    <row r="3">
      <c r="A3" s="2" t="inlineStr">
        <is>
          <t>Bảng này kiểm chứng điều kiện ở mục 5.8 của DESIGN.md. Nó đã tìm ra bốn vấn đề trong thiết kế.</t>
        </is>
      </c>
    </row>
    <row r="4"/>
    <row r="5">
      <c r="A5" s="3" t="inlineStr">
        <is>
          <t>CÁCH DÙNG</t>
        </is>
      </c>
    </row>
    <row r="6">
      <c r="A6" s="2" t="inlineStr">
        <is>
          <t>1. Chỉ sửa ô MÀU VÀNG (sheet 'Thông số', cột hệ số ở sheet 'Boss', 4 cột Lõi ở 'Kiểm chứng build').</t>
        </is>
      </c>
    </row>
    <row r="7">
      <c r="A7" s="2" t="inlineStr">
        <is>
          <t>2. Đọc kết quả ở 'Kiểm chứng build' và 'Biên theo boss'.</t>
        </is>
      </c>
    </row>
    <row r="8">
      <c r="A8" s="2" t="inlineStr">
        <is>
          <t>3. Chỉnh hệ số máu boss đến khi biên của build dàn đều nằm trong dải 1,50–5,15.</t>
        </is>
      </c>
    </row>
    <row r="9"/>
    <row r="10">
      <c r="A10" s="3" t="inlineStr">
        <is>
          <t>MÔ HÌNH</t>
        </is>
      </c>
    </row>
    <row r="11">
      <c r="A11" s="2" t="inlineStr">
        <is>
          <t xml:space="preserve">    Giây để giết = máu mục tiêu / DPS       DPS = SĐ mỗi đòn × tốc độ đánh × hệ số chí mạng TB</t>
        </is>
      </c>
    </row>
    <row r="12">
      <c r="A12" s="2" t="inlineStr">
        <is>
          <t xml:space="preserve">    Giây để chết = máu hiệu dụng / (SĐ địch × tỉ lệ thực nhận)</t>
        </is>
      </c>
    </row>
    <row r="13">
      <c r="A13" s="2" t="inlineStr">
        <is>
          <t xml:space="preserve">    Biên an toàn = giây để chết / giây để giết        (cần &gt;= 1.30)</t>
        </is>
      </c>
    </row>
    <row r="14"/>
    <row r="15">
      <c r="A15" s="3" t="inlineStr">
        <is>
          <t>BỐN PHÁT HIỆN</t>
        </is>
      </c>
    </row>
    <row r="16">
      <c r="A16" s="2" t="inlineStr">
        <is>
          <t>(a) Cấp tối đa phải là 60, không phải 50. Năm cổng đột phá tốn 1+2+3+4+5 Lõi chỉ hợp lý nếu mỗi</t>
        </is>
      </c>
    </row>
    <row r="17">
      <c r="A17" s="2" t="inlineStr">
        <is>
          <t xml:space="preserve">     cổng nâng trần thêm 10 cấp: 10-20-30-40-50-60. Ba con số 15/60/30 giữ nguyên.</t>
        </is>
      </c>
    </row>
    <row r="18"/>
    <row r="19">
      <c r="A19" s="2" t="inlineStr">
        <is>
          <t>(b) Sát thương quái KHÔNG được tăng cùng nhịp với máu quái. Máu quái nhân lên qua 99 tầng, trong khi</t>
        </is>
      </c>
    </row>
    <row r="20">
      <c r="A20" s="2" t="inlineStr">
        <is>
          <t xml:space="preserve">     Giáp chỉ có 59 cấp để bù. Cho cả hai cùng tăng 12% thì người chơi chết tức khắc ở tầng cao,</t>
        </is>
      </c>
    </row>
    <row r="21">
      <c r="A21" s="2" t="inlineStr">
        <is>
          <t xml:space="preserve">     bất kể build nào. Mặc định đặt 9% máu / 4% sát thương.</t>
        </is>
      </c>
    </row>
    <row r="22"/>
    <row r="23">
      <c r="A23" s="2" t="inlineStr">
        <is>
          <t>(c) Cần máu nền tăng theo tầng đã qua, độc lập với Giáp — van an toàn thứ tư, bổ sung cho ba van</t>
        </is>
      </c>
    </row>
    <row r="24">
      <c r="A24" s="2" t="inlineStr">
        <is>
          <t xml:space="preserve">     ở mục 5.8. Không có nó, build bỏ trắng Giáp chết ngay và điều kiện 5.8 không bao giờ thỏa.</t>
        </is>
      </c>
    </row>
    <row r="25"/>
    <row r="26">
      <c r="A26" s="3" t="inlineStr">
        <is>
          <t>(d) ĐIỀU KIỆN 5.8 NHƯ ĐÃ VIẾT LÀ BẤT KHẢ THI. Chứng minh: nếu nhịp độ phẳng và người chơi chạm</t>
        </is>
      </c>
    </row>
    <row r="27">
      <c r="A27" s="2" t="inlineStr">
        <is>
          <t xml:space="preserve">     cấp trần đúng ở tầng cuối, thì mọi build bỏ trắng một ô đều không thể qua tầng 100 — với</t>
        </is>
      </c>
    </row>
    <row r="28">
      <c r="A28" s="2" t="inlineStr">
        <is>
          <t xml:space="preserve">     BẤT KỲ bộ tham số nào. Đây là hệ quả đại số, không phải chuyện chỉnh số.</t>
        </is>
      </c>
    </row>
    <row r="29"/>
    <row r="30">
      <c r="A30" s="2" t="inlineStr">
        <is>
          <t xml:space="preserve">     Quét toàn bộ 62 phân bổ tiêu hết 30 Lõi cho kết quả:</t>
        </is>
      </c>
    </row>
    <row r="31">
      <c r="A31" s="2" t="inlineStr">
        <is>
          <t xml:space="preserve">        - 61 / 62 phân bổ QUA được tầng 100.</t>
        </is>
      </c>
    </row>
    <row r="32">
      <c r="A32" s="2" t="inlineStr">
        <is>
          <t xml:space="preserve">        - Đúng MỘT phân bổ không qua: 0/0/15/15 — bỏ trắng cả Vũ khí lẫn Giáp.</t>
        </is>
      </c>
    </row>
    <row r="33">
      <c r="A33" s="2" t="inlineStr">
        <is>
          <t xml:space="preserve">        - Mọi phân bổ có &gt;= 1 Lõi ở cả bốn ô đều qua được.</t>
        </is>
      </c>
    </row>
    <row r="34"/>
    <row r="35">
      <c r="A35" s="3" t="inlineStr">
        <is>
          <t xml:space="preserve">     ĐIỀU KIỆN 5.8 SỬA LẠI: 'Mọi phân bổ đầu tư ít nhất một bậc đột phá vào cả bốn ô đều qua được</t>
        </is>
      </c>
    </row>
    <row r="36">
      <c r="A36" s="2" t="inlineStr">
        <is>
          <t xml:space="preserve">     tầng 100. Trường hợp bỏ trắng đồng thời Vũ khí và Giáp do tẩy điểm xử lý.'</t>
        </is>
      </c>
    </row>
    <row r="37"/>
    <row r="38">
      <c r="A38" s="3" t="inlineStr">
        <is>
          <t>VẤN ĐỀ CÒN MỞ</t>
        </is>
      </c>
    </row>
    <row r="39">
      <c r="A39" s="2" t="inlineStr">
        <is>
          <t>Quái thường trở nên quá dễ ở giữa game (một tầng chỉ còn ~6 giây quanh tầng 60). Đây là hệ quả</t>
        </is>
      </c>
    </row>
    <row r="40">
      <c r="A40" s="2" t="inlineStr">
        <is>
          <t>không tránh được của việc cấp trần Lõi phải có ý nghĩa. Hướng xử lý đã chọn: dồn toàn bộ độ khó</t>
        </is>
      </c>
    </row>
    <row r="41">
      <c r="A41" s="2" t="inlineStr">
        <is>
          <t>vào BOSS, để quái thường dễ dần — vốn cũng hợp lý vì đã có quét nhanh. Sheet 'Boss' cho phép</t>
        </is>
      </c>
    </row>
    <row r="42">
      <c r="A42" s="2" t="inlineStr">
        <is>
          <t>chỉnh riêng từng con. Xem cột 'Giây để giết' ở 'Đường cong tầng' để soi nhịp độ quái thường.</t>
        </is>
      </c>
    </row>
    <row r="43"/>
    <row r="44">
      <c r="A44" s="3" t="inlineStr">
        <is>
          <t>KẾT QUẢ HIỆN TẠI</t>
        </is>
      </c>
    </row>
    <row r="45">
      <c r="A45" s="2" t="inlineStr">
        <is>
          <t>Số build mẫu đạt:</t>
        </is>
      </c>
      <c r="B45" s="4">
        <f>'Kiểm chứng build'!$B$13</f>
        <v/>
      </c>
    </row>
    <row r="46">
      <c r="A46" s="2" t="inlineStr">
        <is>
          <t>Biên thấp nhất trong 6 build mẫu:</t>
        </is>
      </c>
      <c r="B46" s="5">
        <f>'Kiểm chứng build'!$B$15</f>
        <v/>
      </c>
    </row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64" customWidth="1" min="3" max="3"/>
  </cols>
  <sheetData>
    <row r="1">
      <c r="A1" s="1" t="inlineStr">
        <is>
          <t>BẢNG CÂN BẰNG — TOWER RPG</t>
        </is>
      </c>
    </row>
    <row r="2">
      <c r="A2" s="6" t="inlineStr">
        <is>
          <t>Chỉ sửa ô MÀU VÀNG. Ô chữ đen là công thức.</t>
        </is>
      </c>
    </row>
    <row r="4">
      <c r="A4" s="7" t="inlineStr">
        <is>
          <t>QUÁI THƯỜNG</t>
        </is>
      </c>
      <c r="B4" s="8" t="n"/>
      <c r="C4" s="8" t="n"/>
    </row>
    <row r="5">
      <c r="A5" s="2" t="inlineStr">
        <is>
          <t>Tổng máu quái — tầng 1</t>
        </is>
      </c>
      <c r="B5" s="9" t="n">
        <v>500</v>
      </c>
      <c r="C5" s="6" t="inlineStr">
        <is>
          <t>Đặt sao cho tầng 1 mất ~40s, khớp mục 5.1</t>
        </is>
      </c>
    </row>
    <row r="6">
      <c r="A6" s="2" t="inlineStr">
        <is>
          <t>Tăng máu quái mỗi tầng</t>
        </is>
      </c>
      <c r="B6" s="10" t="n">
        <v>0.0518</v>
      </c>
      <c r="C6" s="6" t="inlineStr">
        <is>
          <t>Giải ngược: giá trị lớn nhất giữ được biên tầng thường &gt;= 1.60</t>
        </is>
      </c>
    </row>
    <row r="7">
      <c r="A7" s="2" t="inlineStr">
        <is>
          <t>Sát thương quái/giây — tầng 1</t>
        </is>
      </c>
      <c r="B7" s="9" t="n">
        <v>3</v>
      </c>
      <c r="C7" s="6" t="inlineStr">
        <is>
          <t>Nếu người chơi đứng yên hoàn toàn</t>
        </is>
      </c>
    </row>
    <row r="8">
      <c r="A8" s="2" t="inlineStr">
        <is>
          <t>Tăng sát thương quái mỗi tầng</t>
        </is>
      </c>
      <c r="B8" s="10" t="n">
        <v>0.04</v>
      </c>
      <c r="C8" s="6" t="inlineStr">
        <is>
          <t>PHẢI thấp hơn tăng máu nhiều — xem Hướng dẫn, phát hiện (b)</t>
        </is>
      </c>
    </row>
    <row r="9">
      <c r="A9" s="2" t="inlineStr">
        <is>
          <t>Tỉ lệ sát thương thực nhận</t>
        </is>
      </c>
      <c r="B9" s="11" t="n">
        <v>0.5</v>
      </c>
      <c r="C9" s="6" t="inlineStr">
        <is>
          <t>Nhờ luật di chuyển ở mục 5.3</t>
        </is>
      </c>
    </row>
    <row r="11">
      <c r="A11" s="7" t="inlineStr">
        <is>
          <t>NGƯỜI CHƠI — CHỈ SỐ NỀN (trang bị cấp 1)</t>
        </is>
      </c>
      <c r="B11" s="8" t="n"/>
      <c r="C11" s="8" t="n"/>
    </row>
    <row r="12">
      <c r="A12" s="2" t="inlineStr">
        <is>
          <t>Sát thương cơ bản</t>
        </is>
      </c>
      <c r="B12" s="9" t="n">
        <v>10</v>
      </c>
      <c r="C12" s="6" t="inlineStr"/>
    </row>
    <row r="13">
      <c r="A13" s="2" t="inlineStr">
        <is>
          <t>Tốc độ đánh cơ bản (đòn/giây)</t>
        </is>
      </c>
      <c r="B13" s="12" t="n">
        <v>1</v>
      </c>
      <c r="C13" s="6" t="inlineStr"/>
    </row>
    <row r="14">
      <c r="A14" s="2" t="inlineStr">
        <is>
          <t>Máu cơ bản</t>
        </is>
      </c>
      <c r="B14" s="9" t="n">
        <v>100</v>
      </c>
      <c r="C14" s="6" t="inlineStr"/>
    </row>
    <row r="15">
      <c r="A15" s="2" t="inlineStr">
        <is>
          <t>Tăng máu nền mỗi tầng đã qua</t>
        </is>
      </c>
      <c r="B15" s="10" t="n">
        <v>0.045</v>
      </c>
      <c r="C15" s="6" t="inlineStr">
        <is>
          <t>Nâng từ 3,5%: giữ máu boss tăng đơn điệu tới boss cuối</t>
        </is>
      </c>
    </row>
    <row r="17">
      <c r="A17" s="7" t="inlineStr">
        <is>
          <t>TĂNG TRƯỞNG MỖI CẤP TRANG BỊ</t>
        </is>
      </c>
      <c r="B17" s="8" t="n"/>
      <c r="C17" s="8" t="n"/>
    </row>
    <row r="18">
      <c r="A18" s="2" t="inlineStr">
        <is>
          <t>Vũ khí — sát thương</t>
        </is>
      </c>
      <c r="B18" s="10" t="n">
        <v>0.04403</v>
      </c>
      <c r="C18" s="6">
        <f> 9% chia 2 theo hình học. Nén độ chênh giữa các build từ 11,7x còn 3,9x</f>
        <v/>
      </c>
    </row>
    <row r="19">
      <c r="A19" s="2" t="inlineStr">
        <is>
          <t>Giáp — máu</t>
        </is>
      </c>
      <c r="B19" s="10" t="n">
        <v>0.04403</v>
      </c>
      <c r="C19" s="6" t="inlineStr">
        <is>
          <t>Bằng Vũ khí, giữ đối xứng sát thương/sinh tồn</t>
        </is>
      </c>
    </row>
    <row r="20">
      <c r="A20" s="2" t="inlineStr">
        <is>
          <t>Găng — tốc độ đánh</t>
        </is>
      </c>
      <c r="B20" s="10" t="n">
        <v>0.03441</v>
      </c>
      <c r="C20" s="6">
        <f> 7% chia 2. Tỉ lệ 9:7 được bảo toàn tuyệt đối</f>
        <v/>
      </c>
    </row>
    <row r="21">
      <c r="A21" s="2" t="inlineStr">
        <is>
          <t>Nhẫn — hệ số chí mạng</t>
        </is>
      </c>
      <c r="B21" s="10" t="n">
        <v>0.03441</v>
      </c>
      <c r="C21" s="6" t="inlineStr">
        <is>
          <t>Bằng Găng</t>
        </is>
      </c>
    </row>
    <row r="23">
      <c r="A23" s="7" t="inlineStr">
        <is>
          <t>CHÍ MẠNG — THANH DỒN (mục 5.4)</t>
        </is>
      </c>
      <c r="B23" s="8" t="n"/>
      <c r="C23" s="8" t="n"/>
    </row>
    <row r="24">
      <c r="A24" s="2" t="inlineStr">
        <is>
          <t>Hệ số chí mạng gốc</t>
        </is>
      </c>
      <c r="B24" s="12" t="n">
        <v>2</v>
      </c>
      <c r="C24" s="6" t="inlineStr">
        <is>
          <t>Nhẫn cấp 1</t>
        </is>
      </c>
    </row>
    <row r="25">
      <c r="A25" s="2" t="inlineStr">
        <is>
          <t>Số đòn để đầy thanh</t>
        </is>
      </c>
      <c r="B25" s="13" t="n">
        <v>5</v>
      </c>
      <c r="C25" s="6" t="inlineStr">
        <is>
          <t>Xác định hoàn toàn, không xác suất</t>
        </is>
      </c>
    </row>
    <row r="27">
      <c r="A27" s="7" t="inlineStr">
        <is>
          <t>KINH TẾ</t>
        </is>
      </c>
      <c r="B27" s="8" t="n"/>
      <c r="C27" s="8" t="n"/>
    </row>
    <row r="28">
      <c r="A28" s="2" t="inlineStr">
        <is>
          <t>Mảnh rơi — tầng 1</t>
        </is>
      </c>
      <c r="B28" s="9" t="n">
        <v>400</v>
      </c>
      <c r="C28" s="6" t="inlineStr"/>
    </row>
    <row r="29">
      <c r="A29" s="2" t="inlineStr">
        <is>
          <t>Tăng Mảnh mỗi tầng</t>
        </is>
      </c>
      <c r="B29" s="10" t="n">
        <v>0.09</v>
      </c>
      <c r="C29" s="6" t="inlineStr">
        <is>
          <t>Bám theo máu quái để giữ giá trị thực ổn định</t>
        </is>
      </c>
    </row>
    <row r="30">
      <c r="A30" s="2" t="inlineStr">
        <is>
          <t>Chi phí Mảnh: cấp 1 → 2</t>
        </is>
      </c>
      <c r="B30" s="9" t="n">
        <v>300</v>
      </c>
      <c r="C30" s="6" t="inlineStr"/>
    </row>
    <row r="31">
      <c r="A31" s="2" t="inlineStr">
        <is>
          <t>Tăng chi phí mỗi cấp</t>
        </is>
      </c>
      <c r="B31" s="10" t="n">
        <v>0.155</v>
      </c>
      <c r="C31" s="6" t="inlineStr">
        <is>
          <t>Đặt sao cho build dàn đều chạm trần đúng quanh tầng 100</t>
        </is>
      </c>
    </row>
    <row r="32">
      <c r="A32" s="2" t="inlineStr">
        <is>
          <t>Hệ số cày lại (quét nhanh)</t>
        </is>
      </c>
      <c r="B32" s="12" t="n">
        <v>2</v>
      </c>
      <c r="C32" s="6" t="inlineStr">
        <is>
          <t>1.0 = chỉ clear mỗi tầng một lần</t>
        </is>
      </c>
    </row>
    <row r="33">
      <c r="A33" s="2" t="inlineStr">
        <is>
          <t>Lõi mỗi boss</t>
        </is>
      </c>
      <c r="B33" s="13" t="n">
        <v>3</v>
      </c>
      <c r="C33" s="6" t="inlineStr">
        <is>
          <t>Chỉ lần giết đầu tiên</t>
        </is>
      </c>
    </row>
    <row r="34">
      <c r="A34" s="2" t="inlineStr">
        <is>
          <t>Số boss</t>
        </is>
      </c>
      <c r="B34" s="13" t="n">
        <v>10</v>
      </c>
      <c r="C34" s="6" t="inlineStr"/>
    </row>
    <row r="35">
      <c r="A35" s="3" t="inlineStr">
        <is>
          <t>TỔNG LÕI CẢ GAME</t>
        </is>
      </c>
      <c r="B35" s="14">
        <f>B33*B34</f>
        <v/>
      </c>
      <c r="C35" s="6" t="inlineStr">
        <is>
          <t>Con số quyết định toàn bộ thiết kế</t>
        </is>
      </c>
    </row>
    <row r="37">
      <c r="A37" s="7" t="inlineStr">
        <is>
          <t>LUẬT HỆ THỐNG</t>
        </is>
      </c>
      <c r="B37" s="8" t="n"/>
      <c r="C37" s="8" t="n"/>
    </row>
    <row r="38">
      <c r="A38" s="2" t="inlineStr">
        <is>
          <t>Cấp tối đa mỗi trang bị</t>
        </is>
      </c>
      <c r="B38" s="13" t="n">
        <v>60</v>
      </c>
      <c r="C38" s="6" t="inlineStr">
        <is>
          <t>Tài liệu ghi 50 — mô hình cho thấy phải là 60, xem Hướng dẫn (a)</t>
        </is>
      </c>
    </row>
    <row r="39">
      <c r="A39" s="2" t="inlineStr">
        <is>
          <t>Số tầng</t>
        </is>
      </c>
      <c r="B39" s="13" t="n">
        <v>100</v>
      </c>
      <c r="C39" s="6" t="inlineStr"/>
    </row>
    <row r="40">
      <c r="A40" s="2" t="inlineStr">
        <is>
          <t>Biên an toàn tối thiểu để ĐẠT</t>
        </is>
      </c>
      <c r="B40" s="12" t="n">
        <v>1.5</v>
      </c>
      <c r="C40" s="6" t="inlineStr">
        <is>
          <t>Dải mục tiêu 1,50-5,80 cho MỌI phân bổ hợp lệ (&gt;=1 Lõi ở cả bốn ô)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CHI PHÍ NÂNG CẤP &amp; CỔNG ĐỘT PHÁ</t>
        </is>
      </c>
    </row>
    <row r="3">
      <c r="A3" s="15" t="inlineStr">
        <is>
          <t>Cấp</t>
        </is>
      </c>
      <c r="B3" s="15" t="inlineStr">
        <is>
          <t>Mảnh lên cấp kế</t>
        </is>
      </c>
      <c r="C3" s="15" t="inlineStr">
        <is>
          <t>Mảnh lũy kế đạt cấp</t>
        </is>
      </c>
      <c r="E3" s="7" t="inlineStr">
        <is>
          <t>CỔNG ĐỘT PHÁ</t>
        </is>
      </c>
    </row>
    <row r="4">
      <c r="A4" s="16" t="n">
        <v>1</v>
      </c>
      <c r="B4" s="17">
        <f>'Thông số'!$B$30*(1+'Thông số'!$B$31)^(A4-1)</f>
        <v/>
      </c>
      <c r="C4" s="17" t="n">
        <v>0</v>
      </c>
      <c r="E4" s="15" t="inlineStr">
        <is>
          <t>Bậc</t>
        </is>
      </c>
      <c r="F4" s="15" t="inlineStr">
        <is>
          <t>Lõi cho bậc</t>
        </is>
      </c>
      <c r="G4" s="15" t="inlineStr">
        <is>
          <t>Lõi lũy kế</t>
        </is>
      </c>
      <c r="H4" s="15" t="inlineStr">
        <is>
          <t>Cấp trần</t>
        </is>
      </c>
    </row>
    <row r="5">
      <c r="A5" s="16" t="n">
        <v>2</v>
      </c>
      <c r="B5" s="17">
        <f>'Thông số'!$B$30*(1+'Thông số'!$B$31)^(A5-1)</f>
        <v/>
      </c>
      <c r="C5" s="17">
        <f>C4+B4</f>
        <v/>
      </c>
      <c r="E5" s="18" t="n">
        <v>0</v>
      </c>
      <c r="F5" s="18" t="n">
        <v>0</v>
      </c>
      <c r="G5" s="18" t="n">
        <v>0</v>
      </c>
      <c r="H5" s="18" t="n">
        <v>10</v>
      </c>
    </row>
    <row r="6">
      <c r="A6" s="16" t="n">
        <v>3</v>
      </c>
      <c r="B6" s="17">
        <f>'Thông số'!$B$30*(1+'Thông số'!$B$31)^(A6-1)</f>
        <v/>
      </c>
      <c r="C6" s="17">
        <f>C5+B5</f>
        <v/>
      </c>
      <c r="E6" s="18" t="n">
        <v>1</v>
      </c>
      <c r="F6" s="18" t="n">
        <v>1</v>
      </c>
      <c r="G6" s="18">
        <f>G5+F6</f>
        <v/>
      </c>
      <c r="H6" s="18" t="n">
        <v>20</v>
      </c>
    </row>
    <row r="7">
      <c r="A7" s="16" t="n">
        <v>4</v>
      </c>
      <c r="B7" s="17">
        <f>'Thông số'!$B$30*(1+'Thông số'!$B$31)^(A7-1)</f>
        <v/>
      </c>
      <c r="C7" s="17">
        <f>C6+B6</f>
        <v/>
      </c>
      <c r="E7" s="18" t="n">
        <v>2</v>
      </c>
      <c r="F7" s="18" t="n">
        <v>2</v>
      </c>
      <c r="G7" s="18">
        <f>G6+F7</f>
        <v/>
      </c>
      <c r="H7" s="18" t="n">
        <v>30</v>
      </c>
    </row>
    <row r="8">
      <c r="A8" s="16" t="n">
        <v>5</v>
      </c>
      <c r="B8" s="17">
        <f>'Thông số'!$B$30*(1+'Thông số'!$B$31)^(A8-1)</f>
        <v/>
      </c>
      <c r="C8" s="17">
        <f>C7+B7</f>
        <v/>
      </c>
      <c r="E8" s="18" t="n">
        <v>3</v>
      </c>
      <c r="F8" s="18" t="n">
        <v>3</v>
      </c>
      <c r="G8" s="18">
        <f>G7+F8</f>
        <v/>
      </c>
      <c r="H8" s="18" t="n">
        <v>40</v>
      </c>
    </row>
    <row r="9">
      <c r="A9" s="16" t="n">
        <v>6</v>
      </c>
      <c r="B9" s="17">
        <f>'Thông số'!$B$30*(1+'Thông số'!$B$31)^(A9-1)</f>
        <v/>
      </c>
      <c r="C9" s="17">
        <f>C8+B8</f>
        <v/>
      </c>
      <c r="E9" s="18" t="n">
        <v>4</v>
      </c>
      <c r="F9" s="18" t="n">
        <v>4</v>
      </c>
      <c r="G9" s="18">
        <f>G8+F9</f>
        <v/>
      </c>
      <c r="H9" s="18" t="n">
        <v>50</v>
      </c>
    </row>
    <row r="10">
      <c r="A10" s="16" t="n">
        <v>7</v>
      </c>
      <c r="B10" s="17">
        <f>'Thông số'!$B$30*(1+'Thông số'!$B$31)^(A10-1)</f>
        <v/>
      </c>
      <c r="C10" s="17">
        <f>C9+B9</f>
        <v/>
      </c>
      <c r="E10" s="18" t="n">
        <v>5</v>
      </c>
      <c r="F10" s="18" t="n">
        <v>5</v>
      </c>
      <c r="G10" s="18">
        <f>G9+F10</f>
        <v/>
      </c>
      <c r="H10" s="18" t="n">
        <v>60</v>
      </c>
    </row>
    <row r="11">
      <c r="A11" s="16" t="n">
        <v>8</v>
      </c>
      <c r="B11" s="17">
        <f>'Thông số'!$B$30*(1+'Thông số'!$B$31)^(A11-1)</f>
        <v/>
      </c>
      <c r="C11" s="17">
        <f>C10+B10</f>
        <v/>
      </c>
    </row>
    <row r="12">
      <c r="A12" s="16" t="n">
        <v>9</v>
      </c>
      <c r="B12" s="17">
        <f>'Thông số'!$B$30*(1+'Thông số'!$B$31)^(A12-1)</f>
        <v/>
      </c>
      <c r="C12" s="17">
        <f>C11+B11</f>
        <v/>
      </c>
      <c r="E12" s="2" t="inlineStr">
        <is>
          <t>Nâng MỘT món lên trần cao nhất</t>
        </is>
      </c>
      <c r="H12" s="19">
        <f>SUM(F5:F10)</f>
        <v/>
      </c>
    </row>
    <row r="13">
      <c r="A13" s="16" t="n">
        <v>10</v>
      </c>
      <c r="B13" s="17">
        <f>'Thông số'!$B$30*(1+'Thông số'!$B$31)^(A13-1)</f>
        <v/>
      </c>
      <c r="C13" s="17">
        <f>C12+B12</f>
        <v/>
      </c>
      <c r="E13" s="2" t="inlineStr">
        <is>
          <t>Nâng CẢ BỐN món lên trần cao nhất</t>
        </is>
      </c>
      <c r="H13" s="19">
        <f>H12*4</f>
        <v/>
      </c>
    </row>
    <row r="14">
      <c r="A14" s="16" t="n">
        <v>11</v>
      </c>
      <c r="B14" s="17">
        <f>'Thông số'!$B$30*(1+'Thông số'!$B$31)^(A14-1)</f>
        <v/>
      </c>
      <c r="C14" s="17">
        <f>C13+B13</f>
        <v/>
      </c>
      <c r="E14" s="2" t="inlineStr">
        <is>
          <t>Lõi thực có cả game</t>
        </is>
      </c>
      <c r="H14" s="19">
        <f>'Thông số'!$B$35</f>
        <v/>
      </c>
    </row>
    <row r="15">
      <c r="A15" s="16" t="n">
        <v>12</v>
      </c>
      <c r="B15" s="17">
        <f>'Thông số'!$B$30*(1+'Thông số'!$B$31)^(A15-1)</f>
        <v/>
      </c>
      <c r="C15" s="17">
        <f>C14+B14</f>
        <v/>
      </c>
      <c r="E15" s="2" t="inlineStr">
        <is>
          <t>Tỉ lệ có thể nâng tối đa</t>
        </is>
      </c>
      <c r="H15" s="20">
        <f>H14/H13</f>
        <v/>
      </c>
    </row>
    <row r="16">
      <c r="A16" s="16" t="n">
        <v>13</v>
      </c>
      <c r="B16" s="17">
        <f>'Thông số'!$B$30*(1+'Thông số'!$B$31)^(A16-1)</f>
        <v/>
      </c>
      <c r="C16" s="17">
        <f>C15+B15</f>
        <v/>
      </c>
      <c r="E16" s="6" t="inlineStr">
        <is>
          <t>Tỉ lệ càng thấp thì lựa chọn càng đau — đó là chủ đích.</t>
        </is>
      </c>
    </row>
    <row r="17">
      <c r="A17" s="16" t="n">
        <v>14</v>
      </c>
      <c r="B17" s="17">
        <f>'Thông số'!$B$30*(1+'Thông số'!$B$31)^(A17-1)</f>
        <v/>
      </c>
      <c r="C17" s="17">
        <f>C16+B16</f>
        <v/>
      </c>
    </row>
    <row r="18">
      <c r="A18" s="16" t="n">
        <v>15</v>
      </c>
      <c r="B18" s="17">
        <f>'Thông số'!$B$30*(1+'Thông số'!$B$31)^(A18-1)</f>
        <v/>
      </c>
      <c r="C18" s="17">
        <f>C17+B17</f>
        <v/>
      </c>
    </row>
    <row r="19">
      <c r="A19" s="16" t="n">
        <v>16</v>
      </c>
      <c r="B19" s="17">
        <f>'Thông số'!$B$30*(1+'Thông số'!$B$31)^(A19-1)</f>
        <v/>
      </c>
      <c r="C19" s="17">
        <f>C18+B18</f>
        <v/>
      </c>
    </row>
    <row r="20">
      <c r="A20" s="16" t="n">
        <v>17</v>
      </c>
      <c r="B20" s="17">
        <f>'Thông số'!$B$30*(1+'Thông số'!$B$31)^(A20-1)</f>
        <v/>
      </c>
      <c r="C20" s="17">
        <f>C19+B19</f>
        <v/>
      </c>
    </row>
    <row r="21">
      <c r="A21" s="16" t="n">
        <v>18</v>
      </c>
      <c r="B21" s="17">
        <f>'Thông số'!$B$30*(1+'Thông số'!$B$31)^(A21-1)</f>
        <v/>
      </c>
      <c r="C21" s="17">
        <f>C20+B20</f>
        <v/>
      </c>
    </row>
    <row r="22">
      <c r="A22" s="16" t="n">
        <v>19</v>
      </c>
      <c r="B22" s="17">
        <f>'Thông số'!$B$30*(1+'Thông số'!$B$31)^(A22-1)</f>
        <v/>
      </c>
      <c r="C22" s="17">
        <f>C21+B21</f>
        <v/>
      </c>
    </row>
    <row r="23">
      <c r="A23" s="16" t="n">
        <v>20</v>
      </c>
      <c r="B23" s="17">
        <f>'Thông số'!$B$30*(1+'Thông số'!$B$31)^(A23-1)</f>
        <v/>
      </c>
      <c r="C23" s="17">
        <f>C22+B22</f>
        <v/>
      </c>
    </row>
    <row r="24">
      <c r="A24" s="16" t="n">
        <v>21</v>
      </c>
      <c r="B24" s="17">
        <f>'Thông số'!$B$30*(1+'Thông số'!$B$31)^(A24-1)</f>
        <v/>
      </c>
      <c r="C24" s="17">
        <f>C23+B23</f>
        <v/>
      </c>
    </row>
    <row r="25">
      <c r="A25" s="16" t="n">
        <v>22</v>
      </c>
      <c r="B25" s="17">
        <f>'Thông số'!$B$30*(1+'Thông số'!$B$31)^(A25-1)</f>
        <v/>
      </c>
      <c r="C25" s="17">
        <f>C24+B24</f>
        <v/>
      </c>
    </row>
    <row r="26">
      <c r="A26" s="16" t="n">
        <v>23</v>
      </c>
      <c r="B26" s="17">
        <f>'Thông số'!$B$30*(1+'Thông số'!$B$31)^(A26-1)</f>
        <v/>
      </c>
      <c r="C26" s="17">
        <f>C25+B25</f>
        <v/>
      </c>
    </row>
    <row r="27">
      <c r="A27" s="16" t="n">
        <v>24</v>
      </c>
      <c r="B27" s="17">
        <f>'Thông số'!$B$30*(1+'Thông số'!$B$31)^(A27-1)</f>
        <v/>
      </c>
      <c r="C27" s="17">
        <f>C26+B26</f>
        <v/>
      </c>
    </row>
    <row r="28">
      <c r="A28" s="16" t="n">
        <v>25</v>
      </c>
      <c r="B28" s="17">
        <f>'Thông số'!$B$30*(1+'Thông số'!$B$31)^(A28-1)</f>
        <v/>
      </c>
      <c r="C28" s="17">
        <f>C27+B27</f>
        <v/>
      </c>
    </row>
    <row r="29">
      <c r="A29" s="16" t="n">
        <v>26</v>
      </c>
      <c r="B29" s="17">
        <f>'Thông số'!$B$30*(1+'Thông số'!$B$31)^(A29-1)</f>
        <v/>
      </c>
      <c r="C29" s="17">
        <f>C28+B28</f>
        <v/>
      </c>
    </row>
    <row r="30">
      <c r="A30" s="16" t="n">
        <v>27</v>
      </c>
      <c r="B30" s="17">
        <f>'Thông số'!$B$30*(1+'Thông số'!$B$31)^(A30-1)</f>
        <v/>
      </c>
      <c r="C30" s="17">
        <f>C29+B29</f>
        <v/>
      </c>
    </row>
    <row r="31">
      <c r="A31" s="16" t="n">
        <v>28</v>
      </c>
      <c r="B31" s="17">
        <f>'Thông số'!$B$30*(1+'Thông số'!$B$31)^(A31-1)</f>
        <v/>
      </c>
      <c r="C31" s="17">
        <f>C30+B30</f>
        <v/>
      </c>
    </row>
    <row r="32">
      <c r="A32" s="16" t="n">
        <v>29</v>
      </c>
      <c r="B32" s="17">
        <f>'Thông số'!$B$30*(1+'Thông số'!$B$31)^(A32-1)</f>
        <v/>
      </c>
      <c r="C32" s="17">
        <f>C31+B31</f>
        <v/>
      </c>
    </row>
    <row r="33">
      <c r="A33" s="16" t="n">
        <v>30</v>
      </c>
      <c r="B33" s="17">
        <f>'Thông số'!$B$30*(1+'Thông số'!$B$31)^(A33-1)</f>
        <v/>
      </c>
      <c r="C33" s="17">
        <f>C32+B32</f>
        <v/>
      </c>
    </row>
    <row r="34">
      <c r="A34" s="16" t="n">
        <v>31</v>
      </c>
      <c r="B34" s="17">
        <f>'Thông số'!$B$30*(1+'Thông số'!$B$31)^(A34-1)</f>
        <v/>
      </c>
      <c r="C34" s="17">
        <f>C33+B33</f>
        <v/>
      </c>
    </row>
    <row r="35">
      <c r="A35" s="16" t="n">
        <v>32</v>
      </c>
      <c r="B35" s="17">
        <f>'Thông số'!$B$30*(1+'Thông số'!$B$31)^(A35-1)</f>
        <v/>
      </c>
      <c r="C35" s="17">
        <f>C34+B34</f>
        <v/>
      </c>
    </row>
    <row r="36">
      <c r="A36" s="16" t="n">
        <v>33</v>
      </c>
      <c r="B36" s="17">
        <f>'Thông số'!$B$30*(1+'Thông số'!$B$31)^(A36-1)</f>
        <v/>
      </c>
      <c r="C36" s="17">
        <f>C35+B35</f>
        <v/>
      </c>
    </row>
    <row r="37">
      <c r="A37" s="16" t="n">
        <v>34</v>
      </c>
      <c r="B37" s="17">
        <f>'Thông số'!$B$30*(1+'Thông số'!$B$31)^(A37-1)</f>
        <v/>
      </c>
      <c r="C37" s="17">
        <f>C36+B36</f>
        <v/>
      </c>
    </row>
    <row r="38">
      <c r="A38" s="16" t="n">
        <v>35</v>
      </c>
      <c r="B38" s="17">
        <f>'Thông số'!$B$30*(1+'Thông số'!$B$31)^(A38-1)</f>
        <v/>
      </c>
      <c r="C38" s="17">
        <f>C37+B37</f>
        <v/>
      </c>
    </row>
    <row r="39">
      <c r="A39" s="16" t="n">
        <v>36</v>
      </c>
      <c r="B39" s="17">
        <f>'Thông số'!$B$30*(1+'Thông số'!$B$31)^(A39-1)</f>
        <v/>
      </c>
      <c r="C39" s="17">
        <f>C38+B38</f>
        <v/>
      </c>
    </row>
    <row r="40">
      <c r="A40" s="16" t="n">
        <v>37</v>
      </c>
      <c r="B40" s="17">
        <f>'Thông số'!$B$30*(1+'Thông số'!$B$31)^(A40-1)</f>
        <v/>
      </c>
      <c r="C40" s="17">
        <f>C39+B39</f>
        <v/>
      </c>
    </row>
    <row r="41">
      <c r="A41" s="16" t="n">
        <v>38</v>
      </c>
      <c r="B41" s="17">
        <f>'Thông số'!$B$30*(1+'Thông số'!$B$31)^(A41-1)</f>
        <v/>
      </c>
      <c r="C41" s="17">
        <f>C40+B40</f>
        <v/>
      </c>
    </row>
    <row r="42">
      <c r="A42" s="16" t="n">
        <v>39</v>
      </c>
      <c r="B42" s="17">
        <f>'Thông số'!$B$30*(1+'Thông số'!$B$31)^(A42-1)</f>
        <v/>
      </c>
      <c r="C42" s="17">
        <f>C41+B41</f>
        <v/>
      </c>
    </row>
    <row r="43">
      <c r="A43" s="16" t="n">
        <v>40</v>
      </c>
      <c r="B43" s="17">
        <f>'Thông số'!$B$30*(1+'Thông số'!$B$31)^(A43-1)</f>
        <v/>
      </c>
      <c r="C43" s="17">
        <f>C42+B42</f>
        <v/>
      </c>
    </row>
    <row r="44">
      <c r="A44" s="16" t="n">
        <v>41</v>
      </c>
      <c r="B44" s="17">
        <f>'Thông số'!$B$30*(1+'Thông số'!$B$31)^(A44-1)</f>
        <v/>
      </c>
      <c r="C44" s="17">
        <f>C43+B43</f>
        <v/>
      </c>
    </row>
    <row r="45">
      <c r="A45" s="16" t="n">
        <v>42</v>
      </c>
      <c r="B45" s="17">
        <f>'Thông số'!$B$30*(1+'Thông số'!$B$31)^(A45-1)</f>
        <v/>
      </c>
      <c r="C45" s="17">
        <f>C44+B44</f>
        <v/>
      </c>
    </row>
    <row r="46">
      <c r="A46" s="16" t="n">
        <v>43</v>
      </c>
      <c r="B46" s="17">
        <f>'Thông số'!$B$30*(1+'Thông số'!$B$31)^(A46-1)</f>
        <v/>
      </c>
      <c r="C46" s="17">
        <f>C45+B45</f>
        <v/>
      </c>
    </row>
    <row r="47">
      <c r="A47" s="16" t="n">
        <v>44</v>
      </c>
      <c r="B47" s="17">
        <f>'Thông số'!$B$30*(1+'Thông số'!$B$31)^(A47-1)</f>
        <v/>
      </c>
      <c r="C47" s="17">
        <f>C46+B46</f>
        <v/>
      </c>
    </row>
    <row r="48">
      <c r="A48" s="16" t="n">
        <v>45</v>
      </c>
      <c r="B48" s="17">
        <f>'Thông số'!$B$30*(1+'Thông số'!$B$31)^(A48-1)</f>
        <v/>
      </c>
      <c r="C48" s="17">
        <f>C47+B47</f>
        <v/>
      </c>
    </row>
    <row r="49">
      <c r="A49" s="16" t="n">
        <v>46</v>
      </c>
      <c r="B49" s="17">
        <f>'Thông số'!$B$30*(1+'Thông số'!$B$31)^(A49-1)</f>
        <v/>
      </c>
      <c r="C49" s="17">
        <f>C48+B48</f>
        <v/>
      </c>
    </row>
    <row r="50">
      <c r="A50" s="16" t="n">
        <v>47</v>
      </c>
      <c r="B50" s="17">
        <f>'Thông số'!$B$30*(1+'Thông số'!$B$31)^(A50-1)</f>
        <v/>
      </c>
      <c r="C50" s="17">
        <f>C49+B49</f>
        <v/>
      </c>
    </row>
    <row r="51">
      <c r="A51" s="16" t="n">
        <v>48</v>
      </c>
      <c r="B51" s="17">
        <f>'Thông số'!$B$30*(1+'Thông số'!$B$31)^(A51-1)</f>
        <v/>
      </c>
      <c r="C51" s="17">
        <f>C50+B50</f>
        <v/>
      </c>
    </row>
    <row r="52">
      <c r="A52" s="16" t="n">
        <v>49</v>
      </c>
      <c r="B52" s="17">
        <f>'Thông số'!$B$30*(1+'Thông số'!$B$31)^(A52-1)</f>
        <v/>
      </c>
      <c r="C52" s="17">
        <f>C51+B51</f>
        <v/>
      </c>
    </row>
    <row r="53">
      <c r="A53" s="16" t="n">
        <v>50</v>
      </c>
      <c r="B53" s="17">
        <f>'Thông số'!$B$30*(1+'Thông số'!$B$31)^(A53-1)</f>
        <v/>
      </c>
      <c r="C53" s="17">
        <f>C52+B52</f>
        <v/>
      </c>
    </row>
    <row r="54">
      <c r="A54" s="16" t="n">
        <v>51</v>
      </c>
      <c r="B54" s="17">
        <f>'Thông số'!$B$30*(1+'Thông số'!$B$31)^(A54-1)</f>
        <v/>
      </c>
      <c r="C54" s="17">
        <f>C53+B53</f>
        <v/>
      </c>
    </row>
    <row r="55">
      <c r="A55" s="16" t="n">
        <v>52</v>
      </c>
      <c r="B55" s="17">
        <f>'Thông số'!$B$30*(1+'Thông số'!$B$31)^(A55-1)</f>
        <v/>
      </c>
      <c r="C55" s="17">
        <f>C54+B54</f>
        <v/>
      </c>
    </row>
    <row r="56">
      <c r="A56" s="16" t="n">
        <v>53</v>
      </c>
      <c r="B56" s="17">
        <f>'Thông số'!$B$30*(1+'Thông số'!$B$31)^(A56-1)</f>
        <v/>
      </c>
      <c r="C56" s="17">
        <f>C55+B55</f>
        <v/>
      </c>
    </row>
    <row r="57">
      <c r="A57" s="16" t="n">
        <v>54</v>
      </c>
      <c r="B57" s="17">
        <f>'Thông số'!$B$30*(1+'Thông số'!$B$31)^(A57-1)</f>
        <v/>
      </c>
      <c r="C57" s="17">
        <f>C56+B56</f>
        <v/>
      </c>
    </row>
    <row r="58">
      <c r="A58" s="16" t="n">
        <v>55</v>
      </c>
      <c r="B58" s="17">
        <f>'Thông số'!$B$30*(1+'Thông số'!$B$31)^(A58-1)</f>
        <v/>
      </c>
      <c r="C58" s="17">
        <f>C57+B57</f>
        <v/>
      </c>
    </row>
    <row r="59">
      <c r="A59" s="16" t="n">
        <v>56</v>
      </c>
      <c r="B59" s="17">
        <f>'Thông số'!$B$30*(1+'Thông số'!$B$31)^(A59-1)</f>
        <v/>
      </c>
      <c r="C59" s="17">
        <f>C58+B58</f>
        <v/>
      </c>
    </row>
    <row r="60">
      <c r="A60" s="16" t="n">
        <v>57</v>
      </c>
      <c r="B60" s="17">
        <f>'Thông số'!$B$30*(1+'Thông số'!$B$31)^(A60-1)</f>
        <v/>
      </c>
      <c r="C60" s="17">
        <f>C59+B59</f>
        <v/>
      </c>
    </row>
    <row r="61">
      <c r="A61" s="16" t="n">
        <v>58</v>
      </c>
      <c r="B61" s="17">
        <f>'Thông số'!$B$30*(1+'Thông số'!$B$31)^(A61-1)</f>
        <v/>
      </c>
      <c r="C61" s="17">
        <f>C60+B60</f>
        <v/>
      </c>
    </row>
    <row r="62">
      <c r="A62" s="16" t="n">
        <v>59</v>
      </c>
      <c r="B62" s="17">
        <f>'Thông số'!$B$30*(1+'Thông số'!$B$31)^(A62-1)</f>
        <v/>
      </c>
      <c r="C62" s="17">
        <f>C61+B61</f>
        <v/>
      </c>
    </row>
    <row r="63">
      <c r="A63" s="16" t="n">
        <v>60</v>
      </c>
      <c r="B63" s="17">
        <f>'Thông số'!$B$30*(1+'Thông số'!$B$31)^(A63-1)</f>
        <v/>
      </c>
      <c r="C63" s="17">
        <f>C62+B62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ĐƯỜNG CONG THEO TẦNG</t>
        </is>
      </c>
    </row>
    <row r="2">
      <c r="A2" s="6" t="inlineStr">
        <is>
          <t>Cột 'Cấp' và 'Giây để giết' tính cho build dàn đều 10/6/6/6 — dùng để soi nhịp độ.</t>
        </is>
      </c>
    </row>
    <row r="4">
      <c r="A4" s="21" t="inlineStr">
        <is>
          <t>Tầng</t>
        </is>
      </c>
      <c r="B4" s="21" t="inlineStr">
        <is>
          <t>Máu quái</t>
        </is>
      </c>
      <c r="C4" s="21" t="inlineStr">
        <is>
          <t>SĐ quái/giây</t>
        </is>
      </c>
      <c r="D4" s="21" t="inlineStr">
        <is>
          <t>Mảnh nhận</t>
        </is>
      </c>
      <c r="E4" s="21" t="inlineStr">
        <is>
          <t>Mảnh lũy kế</t>
        </is>
      </c>
      <c r="F4" s="21" t="inlineStr">
        <is>
          <t>Lõi lũy kế</t>
        </is>
      </c>
      <c r="G4" s="21" t="inlineStr">
        <is>
          <t>Cấp (dàn đều)</t>
        </is>
      </c>
      <c r="H4" s="21" t="inlineStr">
        <is>
          <t>Giây để giết</t>
        </is>
      </c>
    </row>
    <row r="5">
      <c r="A5" s="16" t="n">
        <v>1</v>
      </c>
      <c r="B5" s="17">
        <f>'Thông số'!$B$5*(1+'Thông số'!$B$6)^(A5-1)</f>
        <v/>
      </c>
      <c r="C5" s="17">
        <f>'Thông số'!$B$7*(1+'Thông số'!$B$8)^(A5-1)</f>
        <v/>
      </c>
      <c r="D5" s="17">
        <f>'Thông số'!$B$28*(1+'Thông số'!$B$29)^(A5-1)</f>
        <v/>
      </c>
      <c r="E5" s="17">
        <f>D5*'Thông số'!$B$32</f>
        <v/>
      </c>
      <c r="F5" s="16">
        <f>IF(A5&gt;=10,INT(A5/10)*'Thông số'!$B$33,0)</f>
        <v/>
      </c>
      <c r="G5" s="16">
        <f>MIN(40,MAX(1,INT(1+LOG(1+(E5/4)*'Thông số'!$B$31/'Thông số'!$B$30)/LOG(1+'Thông số'!$B$31))))</f>
        <v/>
      </c>
      <c r="H5" s="22">
        <f>B5/('Thông số'!$B$12*(1+'Thông số'!$B$18)^(G5-1)*'Thông số'!$B$13*(1+'Thông số'!$B$20)^(G5-1)*(('Thông số'!$B$25-1+'Thông số'!$B$24*(1+'Thông số'!$B$21)^(G5-1))/'Thông số'!$B$25))</f>
        <v/>
      </c>
    </row>
    <row r="6">
      <c r="A6" s="16" t="n">
        <v>2</v>
      </c>
      <c r="B6" s="17">
        <f>'Thông số'!$B$5*(1+'Thông số'!$B$6)^(A6-1)</f>
        <v/>
      </c>
      <c r="C6" s="17">
        <f>'Thông số'!$B$7*(1+'Thông số'!$B$8)^(A6-1)</f>
        <v/>
      </c>
      <c r="D6" s="17">
        <f>'Thông số'!$B$28*(1+'Thông số'!$B$29)^(A6-1)</f>
        <v/>
      </c>
      <c r="E6" s="17">
        <f>E5+D6*'Thông số'!$B$32</f>
        <v/>
      </c>
      <c r="F6" s="16">
        <f>IF(A6&gt;=10,INT(A6/10)*'Thông số'!$B$33,0)</f>
        <v/>
      </c>
      <c r="G6" s="16">
        <f>MIN(40,MAX(1,INT(1+LOG(1+(E6/4)*'Thông số'!$B$31/'Thông số'!$B$30)/LOG(1+'Thông số'!$B$31))))</f>
        <v/>
      </c>
      <c r="H6" s="22">
        <f>B6/('Thông số'!$B$12*(1+'Thông số'!$B$18)^(G6-1)*'Thông số'!$B$13*(1+'Thông số'!$B$20)^(G6-1)*(('Thông số'!$B$25-1+'Thông số'!$B$24*(1+'Thông số'!$B$21)^(G6-1))/'Thông số'!$B$25))</f>
        <v/>
      </c>
    </row>
    <row r="7">
      <c r="A7" s="16" t="n">
        <v>3</v>
      </c>
      <c r="B7" s="17">
        <f>'Thông số'!$B$5*(1+'Thông số'!$B$6)^(A7-1)</f>
        <v/>
      </c>
      <c r="C7" s="17">
        <f>'Thông số'!$B$7*(1+'Thông số'!$B$8)^(A7-1)</f>
        <v/>
      </c>
      <c r="D7" s="17">
        <f>'Thông số'!$B$28*(1+'Thông số'!$B$29)^(A7-1)</f>
        <v/>
      </c>
      <c r="E7" s="17">
        <f>E6+D7*'Thông số'!$B$32</f>
        <v/>
      </c>
      <c r="F7" s="16">
        <f>IF(A7&gt;=10,INT(A7/10)*'Thông số'!$B$33,0)</f>
        <v/>
      </c>
      <c r="G7" s="16">
        <f>MIN(40,MAX(1,INT(1+LOG(1+(E7/4)*'Thông số'!$B$31/'Thông số'!$B$30)/LOG(1+'Thông số'!$B$31))))</f>
        <v/>
      </c>
      <c r="H7" s="22">
        <f>B7/('Thông số'!$B$12*(1+'Thông số'!$B$18)^(G7-1)*'Thông số'!$B$13*(1+'Thông số'!$B$20)^(G7-1)*(('Thông số'!$B$25-1+'Thông số'!$B$24*(1+'Thông số'!$B$21)^(G7-1))/'Thông số'!$B$25))</f>
        <v/>
      </c>
    </row>
    <row r="8">
      <c r="A8" s="16" t="n">
        <v>4</v>
      </c>
      <c r="B8" s="17">
        <f>'Thông số'!$B$5*(1+'Thông số'!$B$6)^(A8-1)</f>
        <v/>
      </c>
      <c r="C8" s="17">
        <f>'Thông số'!$B$7*(1+'Thông số'!$B$8)^(A8-1)</f>
        <v/>
      </c>
      <c r="D8" s="17">
        <f>'Thông số'!$B$28*(1+'Thông số'!$B$29)^(A8-1)</f>
        <v/>
      </c>
      <c r="E8" s="17">
        <f>E7+D8*'Thông số'!$B$32</f>
        <v/>
      </c>
      <c r="F8" s="16">
        <f>IF(A8&gt;=10,INT(A8/10)*'Thông số'!$B$33,0)</f>
        <v/>
      </c>
      <c r="G8" s="16">
        <f>MIN(40,MAX(1,INT(1+LOG(1+(E8/4)*'Thông số'!$B$31/'Thông số'!$B$30)/LOG(1+'Thông số'!$B$31))))</f>
        <v/>
      </c>
      <c r="H8" s="22">
        <f>B8/('Thông số'!$B$12*(1+'Thông số'!$B$18)^(G8-1)*'Thông số'!$B$13*(1+'Thông số'!$B$20)^(G8-1)*(('Thông số'!$B$25-1+'Thông số'!$B$24*(1+'Thông số'!$B$21)^(G8-1))/'Thông số'!$B$25))</f>
        <v/>
      </c>
    </row>
    <row r="9">
      <c r="A9" s="16" t="n">
        <v>5</v>
      </c>
      <c r="B9" s="17">
        <f>'Thông số'!$B$5*(1+'Thông số'!$B$6)^(A9-1)</f>
        <v/>
      </c>
      <c r="C9" s="17">
        <f>'Thông số'!$B$7*(1+'Thông số'!$B$8)^(A9-1)</f>
        <v/>
      </c>
      <c r="D9" s="17">
        <f>'Thông số'!$B$28*(1+'Thông số'!$B$29)^(A9-1)</f>
        <v/>
      </c>
      <c r="E9" s="17">
        <f>E8+D9*'Thông số'!$B$32</f>
        <v/>
      </c>
      <c r="F9" s="16">
        <f>IF(A9&gt;=10,INT(A9/10)*'Thông số'!$B$33,0)</f>
        <v/>
      </c>
      <c r="G9" s="16">
        <f>MIN(40,MAX(1,INT(1+LOG(1+(E9/4)*'Thông số'!$B$31/'Thông số'!$B$30)/LOG(1+'Thông số'!$B$31))))</f>
        <v/>
      </c>
      <c r="H9" s="22">
        <f>B9/('Thông số'!$B$12*(1+'Thông số'!$B$18)^(G9-1)*'Thông số'!$B$13*(1+'Thông số'!$B$20)^(G9-1)*(('Thông số'!$B$25-1+'Thông số'!$B$24*(1+'Thông số'!$B$21)^(G9-1))/'Thông số'!$B$25))</f>
        <v/>
      </c>
    </row>
    <row r="10">
      <c r="A10" s="16" t="n">
        <v>6</v>
      </c>
      <c r="B10" s="17">
        <f>'Thông số'!$B$5*(1+'Thông số'!$B$6)^(A10-1)</f>
        <v/>
      </c>
      <c r="C10" s="17">
        <f>'Thông số'!$B$7*(1+'Thông số'!$B$8)^(A10-1)</f>
        <v/>
      </c>
      <c r="D10" s="17">
        <f>'Thông số'!$B$28*(1+'Thông số'!$B$29)^(A10-1)</f>
        <v/>
      </c>
      <c r="E10" s="17">
        <f>E9+D10*'Thông số'!$B$32</f>
        <v/>
      </c>
      <c r="F10" s="16">
        <f>IF(A10&gt;=10,INT(A10/10)*'Thông số'!$B$33,0)</f>
        <v/>
      </c>
      <c r="G10" s="16">
        <f>MIN(40,MAX(1,INT(1+LOG(1+(E10/4)*'Thông số'!$B$31/'Thông số'!$B$30)/LOG(1+'Thông số'!$B$31))))</f>
        <v/>
      </c>
      <c r="H10" s="22">
        <f>B10/('Thông số'!$B$12*(1+'Thông số'!$B$18)^(G10-1)*'Thông số'!$B$13*(1+'Thông số'!$B$20)^(G10-1)*(('Thông số'!$B$25-1+'Thông số'!$B$24*(1+'Thông số'!$B$21)^(G10-1))/'Thông số'!$B$25))</f>
        <v/>
      </c>
    </row>
    <row r="11">
      <c r="A11" s="16" t="n">
        <v>7</v>
      </c>
      <c r="B11" s="17">
        <f>'Thông số'!$B$5*(1+'Thông số'!$B$6)^(A11-1)</f>
        <v/>
      </c>
      <c r="C11" s="17">
        <f>'Thông số'!$B$7*(1+'Thông số'!$B$8)^(A11-1)</f>
        <v/>
      </c>
      <c r="D11" s="17">
        <f>'Thông số'!$B$28*(1+'Thông số'!$B$29)^(A11-1)</f>
        <v/>
      </c>
      <c r="E11" s="17">
        <f>E10+D11*'Thông số'!$B$32</f>
        <v/>
      </c>
      <c r="F11" s="16">
        <f>IF(A11&gt;=10,INT(A11/10)*'Thông số'!$B$33,0)</f>
        <v/>
      </c>
      <c r="G11" s="16">
        <f>MIN(40,MAX(1,INT(1+LOG(1+(E11/4)*'Thông số'!$B$31/'Thông số'!$B$30)/LOG(1+'Thông số'!$B$31))))</f>
        <v/>
      </c>
      <c r="H11" s="22">
        <f>B11/('Thông số'!$B$12*(1+'Thông số'!$B$18)^(G11-1)*'Thông số'!$B$13*(1+'Thông số'!$B$20)^(G11-1)*(('Thông số'!$B$25-1+'Thông số'!$B$24*(1+'Thông số'!$B$21)^(G11-1))/'Thông số'!$B$25))</f>
        <v/>
      </c>
    </row>
    <row r="12">
      <c r="A12" s="16" t="n">
        <v>8</v>
      </c>
      <c r="B12" s="17">
        <f>'Thông số'!$B$5*(1+'Thông số'!$B$6)^(A12-1)</f>
        <v/>
      </c>
      <c r="C12" s="17">
        <f>'Thông số'!$B$7*(1+'Thông số'!$B$8)^(A12-1)</f>
        <v/>
      </c>
      <c r="D12" s="17">
        <f>'Thông số'!$B$28*(1+'Thông số'!$B$29)^(A12-1)</f>
        <v/>
      </c>
      <c r="E12" s="17">
        <f>E11+D12*'Thông số'!$B$32</f>
        <v/>
      </c>
      <c r="F12" s="16">
        <f>IF(A12&gt;=10,INT(A12/10)*'Thông số'!$B$33,0)</f>
        <v/>
      </c>
      <c r="G12" s="16">
        <f>MIN(40,MAX(1,INT(1+LOG(1+(E12/4)*'Thông số'!$B$31/'Thông số'!$B$30)/LOG(1+'Thông số'!$B$31))))</f>
        <v/>
      </c>
      <c r="H12" s="22">
        <f>B12/('Thông số'!$B$12*(1+'Thông số'!$B$18)^(G12-1)*'Thông số'!$B$13*(1+'Thông số'!$B$20)^(G12-1)*(('Thông số'!$B$25-1+'Thông số'!$B$24*(1+'Thông số'!$B$21)^(G12-1))/'Thông số'!$B$25))</f>
        <v/>
      </c>
    </row>
    <row r="13">
      <c r="A13" s="16" t="n">
        <v>9</v>
      </c>
      <c r="B13" s="17">
        <f>'Thông số'!$B$5*(1+'Thông số'!$B$6)^(A13-1)</f>
        <v/>
      </c>
      <c r="C13" s="17">
        <f>'Thông số'!$B$7*(1+'Thông số'!$B$8)^(A13-1)</f>
        <v/>
      </c>
      <c r="D13" s="17">
        <f>'Thông số'!$B$28*(1+'Thông số'!$B$29)^(A13-1)</f>
        <v/>
      </c>
      <c r="E13" s="17">
        <f>E12+D13*'Thông số'!$B$32</f>
        <v/>
      </c>
      <c r="F13" s="16">
        <f>IF(A13&gt;=10,INT(A13/10)*'Thông số'!$B$33,0)</f>
        <v/>
      </c>
      <c r="G13" s="16">
        <f>MIN(40,MAX(1,INT(1+LOG(1+(E13/4)*'Thông số'!$B$31/'Thông số'!$B$30)/LOG(1+'Thông số'!$B$31))))</f>
        <v/>
      </c>
      <c r="H13" s="22">
        <f>B13/('Thông số'!$B$12*(1+'Thông số'!$B$18)^(G13-1)*'Thông số'!$B$13*(1+'Thông số'!$B$20)^(G13-1)*(('Thông số'!$B$25-1+'Thông số'!$B$24*(1+'Thông số'!$B$21)^(G13-1))/'Thông số'!$B$25))</f>
        <v/>
      </c>
    </row>
    <row r="14">
      <c r="A14" s="16" t="n">
        <v>10</v>
      </c>
      <c r="B14" s="17">
        <f>'Thông số'!$B$5*(1+'Thông số'!$B$6)^(A14-1)</f>
        <v/>
      </c>
      <c r="C14" s="17">
        <f>'Thông số'!$B$7*(1+'Thông số'!$B$8)^(A14-1)</f>
        <v/>
      </c>
      <c r="D14" s="17">
        <f>'Thông số'!$B$28*(1+'Thông số'!$B$29)^(A14-1)</f>
        <v/>
      </c>
      <c r="E14" s="17">
        <f>E13+D14*'Thông số'!$B$32</f>
        <v/>
      </c>
      <c r="F14" s="16">
        <f>IF(A14&gt;=10,INT(A14/10)*'Thông số'!$B$33,0)</f>
        <v/>
      </c>
      <c r="G14" s="16">
        <f>MIN(40,MAX(1,INT(1+LOG(1+(E14/4)*'Thông số'!$B$31/'Thông số'!$B$30)/LOG(1+'Thông số'!$B$31))))</f>
        <v/>
      </c>
      <c r="H14" s="22">
        <f>B14/('Thông số'!$B$12*(1+'Thông số'!$B$18)^(G14-1)*'Thông số'!$B$13*(1+'Thông số'!$B$20)^(G14-1)*(('Thông số'!$B$25-1+'Thông số'!$B$24*(1+'Thông số'!$B$21)^(G14-1))/'Thông số'!$B$25))</f>
        <v/>
      </c>
    </row>
    <row r="15">
      <c r="A15" s="16" t="n">
        <v>11</v>
      </c>
      <c r="B15" s="17">
        <f>'Thông số'!$B$5*(1+'Thông số'!$B$6)^(A15-1)</f>
        <v/>
      </c>
      <c r="C15" s="17">
        <f>'Thông số'!$B$7*(1+'Thông số'!$B$8)^(A15-1)</f>
        <v/>
      </c>
      <c r="D15" s="17">
        <f>'Thông số'!$B$28*(1+'Thông số'!$B$29)^(A15-1)</f>
        <v/>
      </c>
      <c r="E15" s="17">
        <f>E14+D15*'Thông số'!$B$32</f>
        <v/>
      </c>
      <c r="F15" s="16">
        <f>IF(A15&gt;=10,INT(A15/10)*'Thông số'!$B$33,0)</f>
        <v/>
      </c>
      <c r="G15" s="16">
        <f>MIN(40,MAX(1,INT(1+LOG(1+(E15/4)*'Thông số'!$B$31/'Thông số'!$B$30)/LOG(1+'Thông số'!$B$31))))</f>
        <v/>
      </c>
      <c r="H15" s="22">
        <f>B15/('Thông số'!$B$12*(1+'Thông số'!$B$18)^(G15-1)*'Thông số'!$B$13*(1+'Thông số'!$B$20)^(G15-1)*(('Thông số'!$B$25-1+'Thông số'!$B$24*(1+'Thông số'!$B$21)^(G15-1))/'Thông số'!$B$25))</f>
        <v/>
      </c>
    </row>
    <row r="16">
      <c r="A16" s="16" t="n">
        <v>12</v>
      </c>
      <c r="B16" s="17">
        <f>'Thông số'!$B$5*(1+'Thông số'!$B$6)^(A16-1)</f>
        <v/>
      </c>
      <c r="C16" s="17">
        <f>'Thông số'!$B$7*(1+'Thông số'!$B$8)^(A16-1)</f>
        <v/>
      </c>
      <c r="D16" s="17">
        <f>'Thông số'!$B$28*(1+'Thông số'!$B$29)^(A16-1)</f>
        <v/>
      </c>
      <c r="E16" s="17">
        <f>E15+D16*'Thông số'!$B$32</f>
        <v/>
      </c>
      <c r="F16" s="16">
        <f>IF(A16&gt;=10,INT(A16/10)*'Thông số'!$B$33,0)</f>
        <v/>
      </c>
      <c r="G16" s="16">
        <f>MIN(40,MAX(1,INT(1+LOG(1+(E16/4)*'Thông số'!$B$31/'Thông số'!$B$30)/LOG(1+'Thông số'!$B$31))))</f>
        <v/>
      </c>
      <c r="H16" s="22">
        <f>B16/('Thông số'!$B$12*(1+'Thông số'!$B$18)^(G16-1)*'Thông số'!$B$13*(1+'Thông số'!$B$20)^(G16-1)*(('Thông số'!$B$25-1+'Thông số'!$B$24*(1+'Thông số'!$B$21)^(G16-1))/'Thông số'!$B$25))</f>
        <v/>
      </c>
    </row>
    <row r="17">
      <c r="A17" s="16" t="n">
        <v>13</v>
      </c>
      <c r="B17" s="17">
        <f>'Thông số'!$B$5*(1+'Thông số'!$B$6)^(A17-1)</f>
        <v/>
      </c>
      <c r="C17" s="17">
        <f>'Thông số'!$B$7*(1+'Thông số'!$B$8)^(A17-1)</f>
        <v/>
      </c>
      <c r="D17" s="17">
        <f>'Thông số'!$B$28*(1+'Thông số'!$B$29)^(A17-1)</f>
        <v/>
      </c>
      <c r="E17" s="17">
        <f>E16+D17*'Thông số'!$B$32</f>
        <v/>
      </c>
      <c r="F17" s="16">
        <f>IF(A17&gt;=10,INT(A17/10)*'Thông số'!$B$33,0)</f>
        <v/>
      </c>
      <c r="G17" s="16">
        <f>MIN(40,MAX(1,INT(1+LOG(1+(E17/4)*'Thông số'!$B$31/'Thông số'!$B$30)/LOG(1+'Thông số'!$B$31))))</f>
        <v/>
      </c>
      <c r="H17" s="22">
        <f>B17/('Thông số'!$B$12*(1+'Thông số'!$B$18)^(G17-1)*'Thông số'!$B$13*(1+'Thông số'!$B$20)^(G17-1)*(('Thông số'!$B$25-1+'Thông số'!$B$24*(1+'Thông số'!$B$21)^(G17-1))/'Thông số'!$B$25))</f>
        <v/>
      </c>
    </row>
    <row r="18">
      <c r="A18" s="16" t="n">
        <v>14</v>
      </c>
      <c r="B18" s="17">
        <f>'Thông số'!$B$5*(1+'Thông số'!$B$6)^(A18-1)</f>
        <v/>
      </c>
      <c r="C18" s="17">
        <f>'Thông số'!$B$7*(1+'Thông số'!$B$8)^(A18-1)</f>
        <v/>
      </c>
      <c r="D18" s="17">
        <f>'Thông số'!$B$28*(1+'Thông số'!$B$29)^(A18-1)</f>
        <v/>
      </c>
      <c r="E18" s="17">
        <f>E17+D18*'Thông số'!$B$32</f>
        <v/>
      </c>
      <c r="F18" s="16">
        <f>IF(A18&gt;=10,INT(A18/10)*'Thông số'!$B$33,0)</f>
        <v/>
      </c>
      <c r="G18" s="16">
        <f>MIN(40,MAX(1,INT(1+LOG(1+(E18/4)*'Thông số'!$B$31/'Thông số'!$B$30)/LOG(1+'Thông số'!$B$31))))</f>
        <v/>
      </c>
      <c r="H18" s="22">
        <f>B18/('Thông số'!$B$12*(1+'Thông số'!$B$18)^(G18-1)*'Thông số'!$B$13*(1+'Thông số'!$B$20)^(G18-1)*(('Thông số'!$B$25-1+'Thông số'!$B$24*(1+'Thông số'!$B$21)^(G18-1))/'Thông số'!$B$25))</f>
        <v/>
      </c>
    </row>
    <row r="19">
      <c r="A19" s="16" t="n">
        <v>15</v>
      </c>
      <c r="B19" s="17">
        <f>'Thông số'!$B$5*(1+'Thông số'!$B$6)^(A19-1)</f>
        <v/>
      </c>
      <c r="C19" s="17">
        <f>'Thông số'!$B$7*(1+'Thông số'!$B$8)^(A19-1)</f>
        <v/>
      </c>
      <c r="D19" s="17">
        <f>'Thông số'!$B$28*(1+'Thông số'!$B$29)^(A19-1)</f>
        <v/>
      </c>
      <c r="E19" s="17">
        <f>E18+D19*'Thông số'!$B$32</f>
        <v/>
      </c>
      <c r="F19" s="16">
        <f>IF(A19&gt;=10,INT(A19/10)*'Thông số'!$B$33,0)</f>
        <v/>
      </c>
      <c r="G19" s="16">
        <f>MIN(40,MAX(1,INT(1+LOG(1+(E19/4)*'Thông số'!$B$31/'Thông số'!$B$30)/LOG(1+'Thông số'!$B$31))))</f>
        <v/>
      </c>
      <c r="H19" s="22">
        <f>B19/('Thông số'!$B$12*(1+'Thông số'!$B$18)^(G19-1)*'Thông số'!$B$13*(1+'Thông số'!$B$20)^(G19-1)*(('Thông số'!$B$25-1+'Thông số'!$B$24*(1+'Thông số'!$B$21)^(G19-1))/'Thông số'!$B$25))</f>
        <v/>
      </c>
    </row>
    <row r="20">
      <c r="A20" s="16" t="n">
        <v>16</v>
      </c>
      <c r="B20" s="17">
        <f>'Thông số'!$B$5*(1+'Thông số'!$B$6)^(A20-1)</f>
        <v/>
      </c>
      <c r="C20" s="17">
        <f>'Thông số'!$B$7*(1+'Thông số'!$B$8)^(A20-1)</f>
        <v/>
      </c>
      <c r="D20" s="17">
        <f>'Thông số'!$B$28*(1+'Thông số'!$B$29)^(A20-1)</f>
        <v/>
      </c>
      <c r="E20" s="17">
        <f>E19+D20*'Thông số'!$B$32</f>
        <v/>
      </c>
      <c r="F20" s="16">
        <f>IF(A20&gt;=10,INT(A20/10)*'Thông số'!$B$33,0)</f>
        <v/>
      </c>
      <c r="G20" s="16">
        <f>MIN(40,MAX(1,INT(1+LOG(1+(E20/4)*'Thông số'!$B$31/'Thông số'!$B$30)/LOG(1+'Thông số'!$B$31))))</f>
        <v/>
      </c>
      <c r="H20" s="22">
        <f>B20/('Thông số'!$B$12*(1+'Thông số'!$B$18)^(G20-1)*'Thông số'!$B$13*(1+'Thông số'!$B$20)^(G20-1)*(('Thông số'!$B$25-1+'Thông số'!$B$24*(1+'Thông số'!$B$21)^(G20-1))/'Thông số'!$B$25))</f>
        <v/>
      </c>
    </row>
    <row r="21">
      <c r="A21" s="16" t="n">
        <v>17</v>
      </c>
      <c r="B21" s="17">
        <f>'Thông số'!$B$5*(1+'Thông số'!$B$6)^(A21-1)</f>
        <v/>
      </c>
      <c r="C21" s="17">
        <f>'Thông số'!$B$7*(1+'Thông số'!$B$8)^(A21-1)</f>
        <v/>
      </c>
      <c r="D21" s="17">
        <f>'Thông số'!$B$28*(1+'Thông số'!$B$29)^(A21-1)</f>
        <v/>
      </c>
      <c r="E21" s="17">
        <f>E20+D21*'Thông số'!$B$32</f>
        <v/>
      </c>
      <c r="F21" s="16">
        <f>IF(A21&gt;=10,INT(A21/10)*'Thông số'!$B$33,0)</f>
        <v/>
      </c>
      <c r="G21" s="16">
        <f>MIN(40,MAX(1,INT(1+LOG(1+(E21/4)*'Thông số'!$B$31/'Thông số'!$B$30)/LOG(1+'Thông số'!$B$31))))</f>
        <v/>
      </c>
      <c r="H21" s="22">
        <f>B21/('Thông số'!$B$12*(1+'Thông số'!$B$18)^(G21-1)*'Thông số'!$B$13*(1+'Thông số'!$B$20)^(G21-1)*(('Thông số'!$B$25-1+'Thông số'!$B$24*(1+'Thông số'!$B$21)^(G21-1))/'Thông số'!$B$25))</f>
        <v/>
      </c>
    </row>
    <row r="22">
      <c r="A22" s="16" t="n">
        <v>18</v>
      </c>
      <c r="B22" s="17">
        <f>'Thông số'!$B$5*(1+'Thông số'!$B$6)^(A22-1)</f>
        <v/>
      </c>
      <c r="C22" s="17">
        <f>'Thông số'!$B$7*(1+'Thông số'!$B$8)^(A22-1)</f>
        <v/>
      </c>
      <c r="D22" s="17">
        <f>'Thông số'!$B$28*(1+'Thông số'!$B$29)^(A22-1)</f>
        <v/>
      </c>
      <c r="E22" s="17">
        <f>E21+D22*'Thông số'!$B$32</f>
        <v/>
      </c>
      <c r="F22" s="16">
        <f>IF(A22&gt;=10,INT(A22/10)*'Thông số'!$B$33,0)</f>
        <v/>
      </c>
      <c r="G22" s="16">
        <f>MIN(40,MAX(1,INT(1+LOG(1+(E22/4)*'Thông số'!$B$31/'Thông số'!$B$30)/LOG(1+'Thông số'!$B$31))))</f>
        <v/>
      </c>
      <c r="H22" s="22">
        <f>B22/('Thông số'!$B$12*(1+'Thông số'!$B$18)^(G22-1)*'Thông số'!$B$13*(1+'Thông số'!$B$20)^(G22-1)*(('Thông số'!$B$25-1+'Thông số'!$B$24*(1+'Thông số'!$B$21)^(G22-1))/'Thông số'!$B$25))</f>
        <v/>
      </c>
    </row>
    <row r="23">
      <c r="A23" s="16" t="n">
        <v>19</v>
      </c>
      <c r="B23" s="17">
        <f>'Thông số'!$B$5*(1+'Thông số'!$B$6)^(A23-1)</f>
        <v/>
      </c>
      <c r="C23" s="17">
        <f>'Thông số'!$B$7*(1+'Thông số'!$B$8)^(A23-1)</f>
        <v/>
      </c>
      <c r="D23" s="17">
        <f>'Thông số'!$B$28*(1+'Thông số'!$B$29)^(A23-1)</f>
        <v/>
      </c>
      <c r="E23" s="17">
        <f>E22+D23*'Thông số'!$B$32</f>
        <v/>
      </c>
      <c r="F23" s="16">
        <f>IF(A23&gt;=10,INT(A23/10)*'Thông số'!$B$33,0)</f>
        <v/>
      </c>
      <c r="G23" s="16">
        <f>MIN(40,MAX(1,INT(1+LOG(1+(E23/4)*'Thông số'!$B$31/'Thông số'!$B$30)/LOG(1+'Thông số'!$B$31))))</f>
        <v/>
      </c>
      <c r="H23" s="22">
        <f>B23/('Thông số'!$B$12*(1+'Thông số'!$B$18)^(G23-1)*'Thông số'!$B$13*(1+'Thông số'!$B$20)^(G23-1)*(('Thông số'!$B$25-1+'Thông số'!$B$24*(1+'Thông số'!$B$21)^(G23-1))/'Thông số'!$B$25))</f>
        <v/>
      </c>
    </row>
    <row r="24">
      <c r="A24" s="16" t="n">
        <v>20</v>
      </c>
      <c r="B24" s="17">
        <f>'Thông số'!$B$5*(1+'Thông số'!$B$6)^(A24-1)</f>
        <v/>
      </c>
      <c r="C24" s="17">
        <f>'Thông số'!$B$7*(1+'Thông số'!$B$8)^(A24-1)</f>
        <v/>
      </c>
      <c r="D24" s="17">
        <f>'Thông số'!$B$28*(1+'Thông số'!$B$29)^(A24-1)</f>
        <v/>
      </c>
      <c r="E24" s="17">
        <f>E23+D24*'Thông số'!$B$32</f>
        <v/>
      </c>
      <c r="F24" s="16">
        <f>IF(A24&gt;=10,INT(A24/10)*'Thông số'!$B$33,0)</f>
        <v/>
      </c>
      <c r="G24" s="16">
        <f>MIN(40,MAX(1,INT(1+LOG(1+(E24/4)*'Thông số'!$B$31/'Thông số'!$B$30)/LOG(1+'Thông số'!$B$31))))</f>
        <v/>
      </c>
      <c r="H24" s="22">
        <f>B24/('Thông số'!$B$12*(1+'Thông số'!$B$18)^(G24-1)*'Thông số'!$B$13*(1+'Thông số'!$B$20)^(G24-1)*(('Thông số'!$B$25-1+'Thông số'!$B$24*(1+'Thông số'!$B$21)^(G24-1))/'Thông số'!$B$25))</f>
        <v/>
      </c>
    </row>
    <row r="25">
      <c r="A25" s="16" t="n">
        <v>21</v>
      </c>
      <c r="B25" s="17">
        <f>'Thông số'!$B$5*(1+'Thông số'!$B$6)^(A25-1)</f>
        <v/>
      </c>
      <c r="C25" s="17">
        <f>'Thông số'!$B$7*(1+'Thông số'!$B$8)^(A25-1)</f>
        <v/>
      </c>
      <c r="D25" s="17">
        <f>'Thông số'!$B$28*(1+'Thông số'!$B$29)^(A25-1)</f>
        <v/>
      </c>
      <c r="E25" s="17">
        <f>E24+D25*'Thông số'!$B$32</f>
        <v/>
      </c>
      <c r="F25" s="16">
        <f>IF(A25&gt;=10,INT(A25/10)*'Thông số'!$B$33,0)</f>
        <v/>
      </c>
      <c r="G25" s="16">
        <f>MIN(40,MAX(1,INT(1+LOG(1+(E25/4)*'Thông số'!$B$31/'Thông số'!$B$30)/LOG(1+'Thông số'!$B$31))))</f>
        <v/>
      </c>
      <c r="H25" s="22">
        <f>B25/('Thông số'!$B$12*(1+'Thông số'!$B$18)^(G25-1)*'Thông số'!$B$13*(1+'Thông số'!$B$20)^(G25-1)*(('Thông số'!$B$25-1+'Thông số'!$B$24*(1+'Thông số'!$B$21)^(G25-1))/'Thông số'!$B$25))</f>
        <v/>
      </c>
    </row>
    <row r="26">
      <c r="A26" s="16" t="n">
        <v>22</v>
      </c>
      <c r="B26" s="17">
        <f>'Thông số'!$B$5*(1+'Thông số'!$B$6)^(A26-1)</f>
        <v/>
      </c>
      <c r="C26" s="17">
        <f>'Thông số'!$B$7*(1+'Thông số'!$B$8)^(A26-1)</f>
        <v/>
      </c>
      <c r="D26" s="17">
        <f>'Thông số'!$B$28*(1+'Thông số'!$B$29)^(A26-1)</f>
        <v/>
      </c>
      <c r="E26" s="17">
        <f>E25+D26*'Thông số'!$B$32</f>
        <v/>
      </c>
      <c r="F26" s="16">
        <f>IF(A26&gt;=10,INT(A26/10)*'Thông số'!$B$33,0)</f>
        <v/>
      </c>
      <c r="G26" s="16">
        <f>MIN(40,MAX(1,INT(1+LOG(1+(E26/4)*'Thông số'!$B$31/'Thông số'!$B$30)/LOG(1+'Thông số'!$B$31))))</f>
        <v/>
      </c>
      <c r="H26" s="22">
        <f>B26/('Thông số'!$B$12*(1+'Thông số'!$B$18)^(G26-1)*'Thông số'!$B$13*(1+'Thông số'!$B$20)^(G26-1)*(('Thông số'!$B$25-1+'Thông số'!$B$24*(1+'Thông số'!$B$21)^(G26-1))/'Thông số'!$B$25))</f>
        <v/>
      </c>
    </row>
    <row r="27">
      <c r="A27" s="16" t="n">
        <v>23</v>
      </c>
      <c r="B27" s="17">
        <f>'Thông số'!$B$5*(1+'Thông số'!$B$6)^(A27-1)</f>
        <v/>
      </c>
      <c r="C27" s="17">
        <f>'Thông số'!$B$7*(1+'Thông số'!$B$8)^(A27-1)</f>
        <v/>
      </c>
      <c r="D27" s="17">
        <f>'Thông số'!$B$28*(1+'Thông số'!$B$29)^(A27-1)</f>
        <v/>
      </c>
      <c r="E27" s="17">
        <f>E26+D27*'Thông số'!$B$32</f>
        <v/>
      </c>
      <c r="F27" s="16">
        <f>IF(A27&gt;=10,INT(A27/10)*'Thông số'!$B$33,0)</f>
        <v/>
      </c>
      <c r="G27" s="16">
        <f>MIN(40,MAX(1,INT(1+LOG(1+(E27/4)*'Thông số'!$B$31/'Thông số'!$B$30)/LOG(1+'Thông số'!$B$31))))</f>
        <v/>
      </c>
      <c r="H27" s="22">
        <f>B27/('Thông số'!$B$12*(1+'Thông số'!$B$18)^(G27-1)*'Thông số'!$B$13*(1+'Thông số'!$B$20)^(G27-1)*(('Thông số'!$B$25-1+'Thông số'!$B$24*(1+'Thông số'!$B$21)^(G27-1))/'Thông số'!$B$25))</f>
        <v/>
      </c>
    </row>
    <row r="28">
      <c r="A28" s="16" t="n">
        <v>24</v>
      </c>
      <c r="B28" s="17">
        <f>'Thông số'!$B$5*(1+'Thông số'!$B$6)^(A28-1)</f>
        <v/>
      </c>
      <c r="C28" s="17">
        <f>'Thông số'!$B$7*(1+'Thông số'!$B$8)^(A28-1)</f>
        <v/>
      </c>
      <c r="D28" s="17">
        <f>'Thông số'!$B$28*(1+'Thông số'!$B$29)^(A28-1)</f>
        <v/>
      </c>
      <c r="E28" s="17">
        <f>E27+D28*'Thông số'!$B$32</f>
        <v/>
      </c>
      <c r="F28" s="16">
        <f>IF(A28&gt;=10,INT(A28/10)*'Thông số'!$B$33,0)</f>
        <v/>
      </c>
      <c r="G28" s="16">
        <f>MIN(40,MAX(1,INT(1+LOG(1+(E28/4)*'Thông số'!$B$31/'Thông số'!$B$30)/LOG(1+'Thông số'!$B$31))))</f>
        <v/>
      </c>
      <c r="H28" s="22">
        <f>B28/('Thông số'!$B$12*(1+'Thông số'!$B$18)^(G28-1)*'Thông số'!$B$13*(1+'Thông số'!$B$20)^(G28-1)*(('Thông số'!$B$25-1+'Thông số'!$B$24*(1+'Thông số'!$B$21)^(G28-1))/'Thông số'!$B$25))</f>
        <v/>
      </c>
    </row>
    <row r="29">
      <c r="A29" s="16" t="n">
        <v>25</v>
      </c>
      <c r="B29" s="17">
        <f>'Thông số'!$B$5*(1+'Thông số'!$B$6)^(A29-1)</f>
        <v/>
      </c>
      <c r="C29" s="17">
        <f>'Thông số'!$B$7*(1+'Thông số'!$B$8)^(A29-1)</f>
        <v/>
      </c>
      <c r="D29" s="17">
        <f>'Thông số'!$B$28*(1+'Thông số'!$B$29)^(A29-1)</f>
        <v/>
      </c>
      <c r="E29" s="17">
        <f>E28+D29*'Thông số'!$B$32</f>
        <v/>
      </c>
      <c r="F29" s="16">
        <f>IF(A29&gt;=10,INT(A29/10)*'Thông số'!$B$33,0)</f>
        <v/>
      </c>
      <c r="G29" s="16">
        <f>MIN(40,MAX(1,INT(1+LOG(1+(E29/4)*'Thông số'!$B$31/'Thông số'!$B$30)/LOG(1+'Thông số'!$B$31))))</f>
        <v/>
      </c>
      <c r="H29" s="22">
        <f>B29/('Thông số'!$B$12*(1+'Thông số'!$B$18)^(G29-1)*'Thông số'!$B$13*(1+'Thông số'!$B$20)^(G29-1)*(('Thông số'!$B$25-1+'Thông số'!$B$24*(1+'Thông số'!$B$21)^(G29-1))/'Thông số'!$B$25))</f>
        <v/>
      </c>
    </row>
    <row r="30">
      <c r="A30" s="16" t="n">
        <v>26</v>
      </c>
      <c r="B30" s="17">
        <f>'Thông số'!$B$5*(1+'Thông số'!$B$6)^(A30-1)</f>
        <v/>
      </c>
      <c r="C30" s="17">
        <f>'Thông số'!$B$7*(1+'Thông số'!$B$8)^(A30-1)</f>
        <v/>
      </c>
      <c r="D30" s="17">
        <f>'Thông số'!$B$28*(1+'Thông số'!$B$29)^(A30-1)</f>
        <v/>
      </c>
      <c r="E30" s="17">
        <f>E29+D30*'Thông số'!$B$32</f>
        <v/>
      </c>
      <c r="F30" s="16">
        <f>IF(A30&gt;=10,INT(A30/10)*'Thông số'!$B$33,0)</f>
        <v/>
      </c>
      <c r="G30" s="16">
        <f>MIN(40,MAX(1,INT(1+LOG(1+(E30/4)*'Thông số'!$B$31/'Thông số'!$B$30)/LOG(1+'Thông số'!$B$31))))</f>
        <v/>
      </c>
      <c r="H30" s="22">
        <f>B30/('Thông số'!$B$12*(1+'Thông số'!$B$18)^(G30-1)*'Thông số'!$B$13*(1+'Thông số'!$B$20)^(G30-1)*(('Thông số'!$B$25-1+'Thông số'!$B$24*(1+'Thông số'!$B$21)^(G30-1))/'Thông số'!$B$25))</f>
        <v/>
      </c>
    </row>
    <row r="31">
      <c r="A31" s="16" t="n">
        <v>27</v>
      </c>
      <c r="B31" s="17">
        <f>'Thông số'!$B$5*(1+'Thông số'!$B$6)^(A31-1)</f>
        <v/>
      </c>
      <c r="C31" s="17">
        <f>'Thông số'!$B$7*(1+'Thông số'!$B$8)^(A31-1)</f>
        <v/>
      </c>
      <c r="D31" s="17">
        <f>'Thông số'!$B$28*(1+'Thông số'!$B$29)^(A31-1)</f>
        <v/>
      </c>
      <c r="E31" s="17">
        <f>E30+D31*'Thông số'!$B$32</f>
        <v/>
      </c>
      <c r="F31" s="16">
        <f>IF(A31&gt;=10,INT(A31/10)*'Thông số'!$B$33,0)</f>
        <v/>
      </c>
      <c r="G31" s="16">
        <f>MIN(40,MAX(1,INT(1+LOG(1+(E31/4)*'Thông số'!$B$31/'Thông số'!$B$30)/LOG(1+'Thông số'!$B$31))))</f>
        <v/>
      </c>
      <c r="H31" s="22">
        <f>B31/('Thông số'!$B$12*(1+'Thông số'!$B$18)^(G31-1)*'Thông số'!$B$13*(1+'Thông số'!$B$20)^(G31-1)*(('Thông số'!$B$25-1+'Thông số'!$B$24*(1+'Thông số'!$B$21)^(G31-1))/'Thông số'!$B$25))</f>
        <v/>
      </c>
    </row>
    <row r="32">
      <c r="A32" s="16" t="n">
        <v>28</v>
      </c>
      <c r="B32" s="17">
        <f>'Thông số'!$B$5*(1+'Thông số'!$B$6)^(A32-1)</f>
        <v/>
      </c>
      <c r="C32" s="17">
        <f>'Thông số'!$B$7*(1+'Thông số'!$B$8)^(A32-1)</f>
        <v/>
      </c>
      <c r="D32" s="17">
        <f>'Thông số'!$B$28*(1+'Thông số'!$B$29)^(A32-1)</f>
        <v/>
      </c>
      <c r="E32" s="17">
        <f>E31+D32*'Thông số'!$B$32</f>
        <v/>
      </c>
      <c r="F32" s="16">
        <f>IF(A32&gt;=10,INT(A32/10)*'Thông số'!$B$33,0)</f>
        <v/>
      </c>
      <c r="G32" s="16">
        <f>MIN(40,MAX(1,INT(1+LOG(1+(E32/4)*'Thông số'!$B$31/'Thông số'!$B$30)/LOG(1+'Thông số'!$B$31))))</f>
        <v/>
      </c>
      <c r="H32" s="22">
        <f>B32/('Thông số'!$B$12*(1+'Thông số'!$B$18)^(G32-1)*'Thông số'!$B$13*(1+'Thông số'!$B$20)^(G32-1)*(('Thông số'!$B$25-1+'Thông số'!$B$24*(1+'Thông số'!$B$21)^(G32-1))/'Thông số'!$B$25))</f>
        <v/>
      </c>
    </row>
    <row r="33">
      <c r="A33" s="16" t="n">
        <v>29</v>
      </c>
      <c r="B33" s="17">
        <f>'Thông số'!$B$5*(1+'Thông số'!$B$6)^(A33-1)</f>
        <v/>
      </c>
      <c r="C33" s="17">
        <f>'Thông số'!$B$7*(1+'Thông số'!$B$8)^(A33-1)</f>
        <v/>
      </c>
      <c r="D33" s="17">
        <f>'Thông số'!$B$28*(1+'Thông số'!$B$29)^(A33-1)</f>
        <v/>
      </c>
      <c r="E33" s="17">
        <f>E32+D33*'Thông số'!$B$32</f>
        <v/>
      </c>
      <c r="F33" s="16">
        <f>IF(A33&gt;=10,INT(A33/10)*'Thông số'!$B$33,0)</f>
        <v/>
      </c>
      <c r="G33" s="16">
        <f>MIN(40,MAX(1,INT(1+LOG(1+(E33/4)*'Thông số'!$B$31/'Thông số'!$B$30)/LOG(1+'Thông số'!$B$31))))</f>
        <v/>
      </c>
      <c r="H33" s="22">
        <f>B33/('Thông số'!$B$12*(1+'Thông số'!$B$18)^(G33-1)*'Thông số'!$B$13*(1+'Thông số'!$B$20)^(G33-1)*(('Thông số'!$B$25-1+'Thông số'!$B$24*(1+'Thông số'!$B$21)^(G33-1))/'Thông số'!$B$25))</f>
        <v/>
      </c>
    </row>
    <row r="34">
      <c r="A34" s="16" t="n">
        <v>30</v>
      </c>
      <c r="B34" s="17">
        <f>'Thông số'!$B$5*(1+'Thông số'!$B$6)^(A34-1)</f>
        <v/>
      </c>
      <c r="C34" s="17">
        <f>'Thông số'!$B$7*(1+'Thông số'!$B$8)^(A34-1)</f>
        <v/>
      </c>
      <c r="D34" s="17">
        <f>'Thông số'!$B$28*(1+'Thông số'!$B$29)^(A34-1)</f>
        <v/>
      </c>
      <c r="E34" s="17">
        <f>E33+D34*'Thông số'!$B$32</f>
        <v/>
      </c>
      <c r="F34" s="16">
        <f>IF(A34&gt;=10,INT(A34/10)*'Thông số'!$B$33,0)</f>
        <v/>
      </c>
      <c r="G34" s="16">
        <f>MIN(40,MAX(1,INT(1+LOG(1+(E34/4)*'Thông số'!$B$31/'Thông số'!$B$30)/LOG(1+'Thông số'!$B$31))))</f>
        <v/>
      </c>
      <c r="H34" s="22">
        <f>B34/('Thông số'!$B$12*(1+'Thông số'!$B$18)^(G34-1)*'Thông số'!$B$13*(1+'Thông số'!$B$20)^(G34-1)*(('Thông số'!$B$25-1+'Thông số'!$B$24*(1+'Thông số'!$B$21)^(G34-1))/'Thông số'!$B$25))</f>
        <v/>
      </c>
    </row>
    <row r="35">
      <c r="A35" s="16" t="n">
        <v>31</v>
      </c>
      <c r="B35" s="17">
        <f>'Thông số'!$B$5*(1+'Thông số'!$B$6)^(A35-1)</f>
        <v/>
      </c>
      <c r="C35" s="17">
        <f>'Thông số'!$B$7*(1+'Thông số'!$B$8)^(A35-1)</f>
        <v/>
      </c>
      <c r="D35" s="17">
        <f>'Thông số'!$B$28*(1+'Thông số'!$B$29)^(A35-1)</f>
        <v/>
      </c>
      <c r="E35" s="17">
        <f>E34+D35*'Thông số'!$B$32</f>
        <v/>
      </c>
      <c r="F35" s="16">
        <f>IF(A35&gt;=10,INT(A35/10)*'Thông số'!$B$33,0)</f>
        <v/>
      </c>
      <c r="G35" s="16">
        <f>MIN(40,MAX(1,INT(1+LOG(1+(E35/4)*'Thông số'!$B$31/'Thông số'!$B$30)/LOG(1+'Thông số'!$B$31))))</f>
        <v/>
      </c>
      <c r="H35" s="22">
        <f>B35/('Thông số'!$B$12*(1+'Thông số'!$B$18)^(G35-1)*'Thông số'!$B$13*(1+'Thông số'!$B$20)^(G35-1)*(('Thông số'!$B$25-1+'Thông số'!$B$24*(1+'Thông số'!$B$21)^(G35-1))/'Thông số'!$B$25))</f>
        <v/>
      </c>
    </row>
    <row r="36">
      <c r="A36" s="16" t="n">
        <v>32</v>
      </c>
      <c r="B36" s="17">
        <f>'Thông số'!$B$5*(1+'Thông số'!$B$6)^(A36-1)</f>
        <v/>
      </c>
      <c r="C36" s="17">
        <f>'Thông số'!$B$7*(1+'Thông số'!$B$8)^(A36-1)</f>
        <v/>
      </c>
      <c r="D36" s="17">
        <f>'Thông số'!$B$28*(1+'Thông số'!$B$29)^(A36-1)</f>
        <v/>
      </c>
      <c r="E36" s="17">
        <f>E35+D36*'Thông số'!$B$32</f>
        <v/>
      </c>
      <c r="F36" s="16">
        <f>IF(A36&gt;=10,INT(A36/10)*'Thông số'!$B$33,0)</f>
        <v/>
      </c>
      <c r="G36" s="16">
        <f>MIN(40,MAX(1,INT(1+LOG(1+(E36/4)*'Thông số'!$B$31/'Thông số'!$B$30)/LOG(1+'Thông số'!$B$31))))</f>
        <v/>
      </c>
      <c r="H36" s="22">
        <f>B36/('Thông số'!$B$12*(1+'Thông số'!$B$18)^(G36-1)*'Thông số'!$B$13*(1+'Thông số'!$B$20)^(G36-1)*(('Thông số'!$B$25-1+'Thông số'!$B$24*(1+'Thông số'!$B$21)^(G36-1))/'Thông số'!$B$25))</f>
        <v/>
      </c>
    </row>
    <row r="37">
      <c r="A37" s="16" t="n">
        <v>33</v>
      </c>
      <c r="B37" s="17">
        <f>'Thông số'!$B$5*(1+'Thông số'!$B$6)^(A37-1)</f>
        <v/>
      </c>
      <c r="C37" s="17">
        <f>'Thông số'!$B$7*(1+'Thông số'!$B$8)^(A37-1)</f>
        <v/>
      </c>
      <c r="D37" s="17">
        <f>'Thông số'!$B$28*(1+'Thông số'!$B$29)^(A37-1)</f>
        <v/>
      </c>
      <c r="E37" s="17">
        <f>E36+D37*'Thông số'!$B$32</f>
        <v/>
      </c>
      <c r="F37" s="16">
        <f>IF(A37&gt;=10,INT(A37/10)*'Thông số'!$B$33,0)</f>
        <v/>
      </c>
      <c r="G37" s="16">
        <f>MIN(40,MAX(1,INT(1+LOG(1+(E37/4)*'Thông số'!$B$31/'Thông số'!$B$30)/LOG(1+'Thông số'!$B$31))))</f>
        <v/>
      </c>
      <c r="H37" s="22">
        <f>B37/('Thông số'!$B$12*(1+'Thông số'!$B$18)^(G37-1)*'Thông số'!$B$13*(1+'Thông số'!$B$20)^(G37-1)*(('Thông số'!$B$25-1+'Thông số'!$B$24*(1+'Thông số'!$B$21)^(G37-1))/'Thông số'!$B$25))</f>
        <v/>
      </c>
    </row>
    <row r="38">
      <c r="A38" s="16" t="n">
        <v>34</v>
      </c>
      <c r="B38" s="17">
        <f>'Thông số'!$B$5*(1+'Thông số'!$B$6)^(A38-1)</f>
        <v/>
      </c>
      <c r="C38" s="17">
        <f>'Thông số'!$B$7*(1+'Thông số'!$B$8)^(A38-1)</f>
        <v/>
      </c>
      <c r="D38" s="17">
        <f>'Thông số'!$B$28*(1+'Thông số'!$B$29)^(A38-1)</f>
        <v/>
      </c>
      <c r="E38" s="17">
        <f>E37+D38*'Thông số'!$B$32</f>
        <v/>
      </c>
      <c r="F38" s="16">
        <f>IF(A38&gt;=10,INT(A38/10)*'Thông số'!$B$33,0)</f>
        <v/>
      </c>
      <c r="G38" s="16">
        <f>MIN(40,MAX(1,INT(1+LOG(1+(E38/4)*'Thông số'!$B$31/'Thông số'!$B$30)/LOG(1+'Thông số'!$B$31))))</f>
        <v/>
      </c>
      <c r="H38" s="22">
        <f>B38/('Thông số'!$B$12*(1+'Thông số'!$B$18)^(G38-1)*'Thông số'!$B$13*(1+'Thông số'!$B$20)^(G38-1)*(('Thông số'!$B$25-1+'Thông số'!$B$24*(1+'Thông số'!$B$21)^(G38-1))/'Thông số'!$B$25))</f>
        <v/>
      </c>
    </row>
    <row r="39">
      <c r="A39" s="16" t="n">
        <v>35</v>
      </c>
      <c r="B39" s="17">
        <f>'Thông số'!$B$5*(1+'Thông số'!$B$6)^(A39-1)</f>
        <v/>
      </c>
      <c r="C39" s="17">
        <f>'Thông số'!$B$7*(1+'Thông số'!$B$8)^(A39-1)</f>
        <v/>
      </c>
      <c r="D39" s="17">
        <f>'Thông số'!$B$28*(1+'Thông số'!$B$29)^(A39-1)</f>
        <v/>
      </c>
      <c r="E39" s="17">
        <f>E38+D39*'Thông số'!$B$32</f>
        <v/>
      </c>
      <c r="F39" s="16">
        <f>IF(A39&gt;=10,INT(A39/10)*'Thông số'!$B$33,0)</f>
        <v/>
      </c>
      <c r="G39" s="16">
        <f>MIN(40,MAX(1,INT(1+LOG(1+(E39/4)*'Thông số'!$B$31/'Thông số'!$B$30)/LOG(1+'Thông số'!$B$31))))</f>
        <v/>
      </c>
      <c r="H39" s="22">
        <f>B39/('Thông số'!$B$12*(1+'Thông số'!$B$18)^(G39-1)*'Thông số'!$B$13*(1+'Thông số'!$B$20)^(G39-1)*(('Thông số'!$B$25-1+'Thông số'!$B$24*(1+'Thông số'!$B$21)^(G39-1))/'Thông số'!$B$25))</f>
        <v/>
      </c>
    </row>
    <row r="40">
      <c r="A40" s="16" t="n">
        <v>36</v>
      </c>
      <c r="B40" s="17">
        <f>'Thông số'!$B$5*(1+'Thông số'!$B$6)^(A40-1)</f>
        <v/>
      </c>
      <c r="C40" s="17">
        <f>'Thông số'!$B$7*(1+'Thông số'!$B$8)^(A40-1)</f>
        <v/>
      </c>
      <c r="D40" s="17">
        <f>'Thông số'!$B$28*(1+'Thông số'!$B$29)^(A40-1)</f>
        <v/>
      </c>
      <c r="E40" s="17">
        <f>E39+D40*'Thông số'!$B$32</f>
        <v/>
      </c>
      <c r="F40" s="16">
        <f>IF(A40&gt;=10,INT(A40/10)*'Thông số'!$B$33,0)</f>
        <v/>
      </c>
      <c r="G40" s="16">
        <f>MIN(40,MAX(1,INT(1+LOG(1+(E40/4)*'Thông số'!$B$31/'Thông số'!$B$30)/LOG(1+'Thông số'!$B$31))))</f>
        <v/>
      </c>
      <c r="H40" s="22">
        <f>B40/('Thông số'!$B$12*(1+'Thông số'!$B$18)^(G40-1)*'Thông số'!$B$13*(1+'Thông số'!$B$20)^(G40-1)*(('Thông số'!$B$25-1+'Thông số'!$B$24*(1+'Thông số'!$B$21)^(G40-1))/'Thông số'!$B$25))</f>
        <v/>
      </c>
    </row>
    <row r="41">
      <c r="A41" s="16" t="n">
        <v>37</v>
      </c>
      <c r="B41" s="17">
        <f>'Thông số'!$B$5*(1+'Thông số'!$B$6)^(A41-1)</f>
        <v/>
      </c>
      <c r="C41" s="17">
        <f>'Thông số'!$B$7*(1+'Thông số'!$B$8)^(A41-1)</f>
        <v/>
      </c>
      <c r="D41" s="17">
        <f>'Thông số'!$B$28*(1+'Thông số'!$B$29)^(A41-1)</f>
        <v/>
      </c>
      <c r="E41" s="17">
        <f>E40+D41*'Thông số'!$B$32</f>
        <v/>
      </c>
      <c r="F41" s="16">
        <f>IF(A41&gt;=10,INT(A41/10)*'Thông số'!$B$33,0)</f>
        <v/>
      </c>
      <c r="G41" s="16">
        <f>MIN(40,MAX(1,INT(1+LOG(1+(E41/4)*'Thông số'!$B$31/'Thông số'!$B$30)/LOG(1+'Thông số'!$B$31))))</f>
        <v/>
      </c>
      <c r="H41" s="22">
        <f>B41/('Thông số'!$B$12*(1+'Thông số'!$B$18)^(G41-1)*'Thông số'!$B$13*(1+'Thông số'!$B$20)^(G41-1)*(('Thông số'!$B$25-1+'Thông số'!$B$24*(1+'Thông số'!$B$21)^(G41-1))/'Thông số'!$B$25))</f>
        <v/>
      </c>
    </row>
    <row r="42">
      <c r="A42" s="16" t="n">
        <v>38</v>
      </c>
      <c r="B42" s="17">
        <f>'Thông số'!$B$5*(1+'Thông số'!$B$6)^(A42-1)</f>
        <v/>
      </c>
      <c r="C42" s="17">
        <f>'Thông số'!$B$7*(1+'Thông số'!$B$8)^(A42-1)</f>
        <v/>
      </c>
      <c r="D42" s="17">
        <f>'Thông số'!$B$28*(1+'Thông số'!$B$29)^(A42-1)</f>
        <v/>
      </c>
      <c r="E42" s="17">
        <f>E41+D42*'Thông số'!$B$32</f>
        <v/>
      </c>
      <c r="F42" s="16">
        <f>IF(A42&gt;=10,INT(A42/10)*'Thông số'!$B$33,0)</f>
        <v/>
      </c>
      <c r="G42" s="16">
        <f>MIN(40,MAX(1,INT(1+LOG(1+(E42/4)*'Thông số'!$B$31/'Thông số'!$B$30)/LOG(1+'Thông số'!$B$31))))</f>
        <v/>
      </c>
      <c r="H42" s="22">
        <f>B42/('Thông số'!$B$12*(1+'Thông số'!$B$18)^(G42-1)*'Thông số'!$B$13*(1+'Thông số'!$B$20)^(G42-1)*(('Thông số'!$B$25-1+'Thông số'!$B$24*(1+'Thông số'!$B$21)^(G42-1))/'Thông số'!$B$25))</f>
        <v/>
      </c>
    </row>
    <row r="43">
      <c r="A43" s="16" t="n">
        <v>39</v>
      </c>
      <c r="B43" s="17">
        <f>'Thông số'!$B$5*(1+'Thông số'!$B$6)^(A43-1)</f>
        <v/>
      </c>
      <c r="C43" s="17">
        <f>'Thông số'!$B$7*(1+'Thông số'!$B$8)^(A43-1)</f>
        <v/>
      </c>
      <c r="D43" s="17">
        <f>'Thông số'!$B$28*(1+'Thông số'!$B$29)^(A43-1)</f>
        <v/>
      </c>
      <c r="E43" s="17">
        <f>E42+D43*'Thông số'!$B$32</f>
        <v/>
      </c>
      <c r="F43" s="16">
        <f>IF(A43&gt;=10,INT(A43/10)*'Thông số'!$B$33,0)</f>
        <v/>
      </c>
      <c r="G43" s="16">
        <f>MIN(40,MAX(1,INT(1+LOG(1+(E43/4)*'Thông số'!$B$31/'Thông số'!$B$30)/LOG(1+'Thông số'!$B$31))))</f>
        <v/>
      </c>
      <c r="H43" s="22">
        <f>B43/('Thông số'!$B$12*(1+'Thông số'!$B$18)^(G43-1)*'Thông số'!$B$13*(1+'Thông số'!$B$20)^(G43-1)*(('Thông số'!$B$25-1+'Thông số'!$B$24*(1+'Thông số'!$B$21)^(G43-1))/'Thông số'!$B$25))</f>
        <v/>
      </c>
    </row>
    <row r="44">
      <c r="A44" s="16" t="n">
        <v>40</v>
      </c>
      <c r="B44" s="17">
        <f>'Thông số'!$B$5*(1+'Thông số'!$B$6)^(A44-1)</f>
        <v/>
      </c>
      <c r="C44" s="17">
        <f>'Thông số'!$B$7*(1+'Thông số'!$B$8)^(A44-1)</f>
        <v/>
      </c>
      <c r="D44" s="17">
        <f>'Thông số'!$B$28*(1+'Thông số'!$B$29)^(A44-1)</f>
        <v/>
      </c>
      <c r="E44" s="17">
        <f>E43+D44*'Thông số'!$B$32</f>
        <v/>
      </c>
      <c r="F44" s="16">
        <f>IF(A44&gt;=10,INT(A44/10)*'Thông số'!$B$33,0)</f>
        <v/>
      </c>
      <c r="G44" s="16">
        <f>MIN(40,MAX(1,INT(1+LOG(1+(E44/4)*'Thông số'!$B$31/'Thông số'!$B$30)/LOG(1+'Thông số'!$B$31))))</f>
        <v/>
      </c>
      <c r="H44" s="22">
        <f>B44/('Thông số'!$B$12*(1+'Thông số'!$B$18)^(G44-1)*'Thông số'!$B$13*(1+'Thông số'!$B$20)^(G44-1)*(('Thông số'!$B$25-1+'Thông số'!$B$24*(1+'Thông số'!$B$21)^(G44-1))/'Thông số'!$B$25))</f>
        <v/>
      </c>
    </row>
    <row r="45">
      <c r="A45" s="16" t="n">
        <v>41</v>
      </c>
      <c r="B45" s="17">
        <f>'Thông số'!$B$5*(1+'Thông số'!$B$6)^(A45-1)</f>
        <v/>
      </c>
      <c r="C45" s="17">
        <f>'Thông số'!$B$7*(1+'Thông số'!$B$8)^(A45-1)</f>
        <v/>
      </c>
      <c r="D45" s="17">
        <f>'Thông số'!$B$28*(1+'Thông số'!$B$29)^(A45-1)</f>
        <v/>
      </c>
      <c r="E45" s="17">
        <f>E44+D45*'Thông số'!$B$32</f>
        <v/>
      </c>
      <c r="F45" s="16">
        <f>IF(A45&gt;=10,INT(A45/10)*'Thông số'!$B$33,0)</f>
        <v/>
      </c>
      <c r="G45" s="16">
        <f>MIN(40,MAX(1,INT(1+LOG(1+(E45/4)*'Thông số'!$B$31/'Thông số'!$B$30)/LOG(1+'Thông số'!$B$31))))</f>
        <v/>
      </c>
      <c r="H45" s="22">
        <f>B45/('Thông số'!$B$12*(1+'Thông số'!$B$18)^(G45-1)*'Thông số'!$B$13*(1+'Thông số'!$B$20)^(G45-1)*(('Thông số'!$B$25-1+'Thông số'!$B$24*(1+'Thông số'!$B$21)^(G45-1))/'Thông số'!$B$25))</f>
        <v/>
      </c>
    </row>
    <row r="46">
      <c r="A46" s="16" t="n">
        <v>42</v>
      </c>
      <c r="B46" s="17">
        <f>'Thông số'!$B$5*(1+'Thông số'!$B$6)^(A46-1)</f>
        <v/>
      </c>
      <c r="C46" s="17">
        <f>'Thông số'!$B$7*(1+'Thông số'!$B$8)^(A46-1)</f>
        <v/>
      </c>
      <c r="D46" s="17">
        <f>'Thông số'!$B$28*(1+'Thông số'!$B$29)^(A46-1)</f>
        <v/>
      </c>
      <c r="E46" s="17">
        <f>E45+D46*'Thông số'!$B$32</f>
        <v/>
      </c>
      <c r="F46" s="16">
        <f>IF(A46&gt;=10,INT(A46/10)*'Thông số'!$B$33,0)</f>
        <v/>
      </c>
      <c r="G46" s="16">
        <f>MIN(40,MAX(1,INT(1+LOG(1+(E46/4)*'Thông số'!$B$31/'Thông số'!$B$30)/LOG(1+'Thông số'!$B$31))))</f>
        <v/>
      </c>
      <c r="H46" s="22">
        <f>B46/('Thông số'!$B$12*(1+'Thông số'!$B$18)^(G46-1)*'Thông số'!$B$13*(1+'Thông số'!$B$20)^(G46-1)*(('Thông số'!$B$25-1+'Thông số'!$B$24*(1+'Thông số'!$B$21)^(G46-1))/'Thông số'!$B$25))</f>
        <v/>
      </c>
    </row>
    <row r="47">
      <c r="A47" s="16" t="n">
        <v>43</v>
      </c>
      <c r="B47" s="17">
        <f>'Thông số'!$B$5*(1+'Thông số'!$B$6)^(A47-1)</f>
        <v/>
      </c>
      <c r="C47" s="17">
        <f>'Thông số'!$B$7*(1+'Thông số'!$B$8)^(A47-1)</f>
        <v/>
      </c>
      <c r="D47" s="17">
        <f>'Thông số'!$B$28*(1+'Thông số'!$B$29)^(A47-1)</f>
        <v/>
      </c>
      <c r="E47" s="17">
        <f>E46+D47*'Thông số'!$B$32</f>
        <v/>
      </c>
      <c r="F47" s="16">
        <f>IF(A47&gt;=10,INT(A47/10)*'Thông số'!$B$33,0)</f>
        <v/>
      </c>
      <c r="G47" s="16">
        <f>MIN(40,MAX(1,INT(1+LOG(1+(E47/4)*'Thông số'!$B$31/'Thông số'!$B$30)/LOG(1+'Thông số'!$B$31))))</f>
        <v/>
      </c>
      <c r="H47" s="22">
        <f>B47/('Thông số'!$B$12*(1+'Thông số'!$B$18)^(G47-1)*'Thông số'!$B$13*(1+'Thông số'!$B$20)^(G47-1)*(('Thông số'!$B$25-1+'Thông số'!$B$24*(1+'Thông số'!$B$21)^(G47-1))/'Thông số'!$B$25))</f>
        <v/>
      </c>
    </row>
    <row r="48">
      <c r="A48" s="16" t="n">
        <v>44</v>
      </c>
      <c r="B48" s="17">
        <f>'Thông số'!$B$5*(1+'Thông số'!$B$6)^(A48-1)</f>
        <v/>
      </c>
      <c r="C48" s="17">
        <f>'Thông số'!$B$7*(1+'Thông số'!$B$8)^(A48-1)</f>
        <v/>
      </c>
      <c r="D48" s="17">
        <f>'Thông số'!$B$28*(1+'Thông số'!$B$29)^(A48-1)</f>
        <v/>
      </c>
      <c r="E48" s="17">
        <f>E47+D48*'Thông số'!$B$32</f>
        <v/>
      </c>
      <c r="F48" s="16">
        <f>IF(A48&gt;=10,INT(A48/10)*'Thông số'!$B$33,0)</f>
        <v/>
      </c>
      <c r="G48" s="16">
        <f>MIN(40,MAX(1,INT(1+LOG(1+(E48/4)*'Thông số'!$B$31/'Thông số'!$B$30)/LOG(1+'Thông số'!$B$31))))</f>
        <v/>
      </c>
      <c r="H48" s="22">
        <f>B48/('Thông số'!$B$12*(1+'Thông số'!$B$18)^(G48-1)*'Thông số'!$B$13*(1+'Thông số'!$B$20)^(G48-1)*(('Thông số'!$B$25-1+'Thông số'!$B$24*(1+'Thông số'!$B$21)^(G48-1))/'Thông số'!$B$25))</f>
        <v/>
      </c>
    </row>
    <row r="49">
      <c r="A49" s="16" t="n">
        <v>45</v>
      </c>
      <c r="B49" s="17">
        <f>'Thông số'!$B$5*(1+'Thông số'!$B$6)^(A49-1)</f>
        <v/>
      </c>
      <c r="C49" s="17">
        <f>'Thông số'!$B$7*(1+'Thông số'!$B$8)^(A49-1)</f>
        <v/>
      </c>
      <c r="D49" s="17">
        <f>'Thông số'!$B$28*(1+'Thông số'!$B$29)^(A49-1)</f>
        <v/>
      </c>
      <c r="E49" s="17">
        <f>E48+D49*'Thông số'!$B$32</f>
        <v/>
      </c>
      <c r="F49" s="16">
        <f>IF(A49&gt;=10,INT(A49/10)*'Thông số'!$B$33,0)</f>
        <v/>
      </c>
      <c r="G49" s="16">
        <f>MIN(40,MAX(1,INT(1+LOG(1+(E49/4)*'Thông số'!$B$31/'Thông số'!$B$30)/LOG(1+'Thông số'!$B$31))))</f>
        <v/>
      </c>
      <c r="H49" s="22">
        <f>B49/('Thông số'!$B$12*(1+'Thông số'!$B$18)^(G49-1)*'Thông số'!$B$13*(1+'Thông số'!$B$20)^(G49-1)*(('Thông số'!$B$25-1+'Thông số'!$B$24*(1+'Thông số'!$B$21)^(G49-1))/'Thông số'!$B$25))</f>
        <v/>
      </c>
    </row>
    <row r="50">
      <c r="A50" s="16" t="n">
        <v>46</v>
      </c>
      <c r="B50" s="17">
        <f>'Thông số'!$B$5*(1+'Thông số'!$B$6)^(A50-1)</f>
        <v/>
      </c>
      <c r="C50" s="17">
        <f>'Thông số'!$B$7*(1+'Thông số'!$B$8)^(A50-1)</f>
        <v/>
      </c>
      <c r="D50" s="17">
        <f>'Thông số'!$B$28*(1+'Thông số'!$B$29)^(A50-1)</f>
        <v/>
      </c>
      <c r="E50" s="17">
        <f>E49+D50*'Thông số'!$B$32</f>
        <v/>
      </c>
      <c r="F50" s="16">
        <f>IF(A50&gt;=10,INT(A50/10)*'Thông số'!$B$33,0)</f>
        <v/>
      </c>
      <c r="G50" s="16">
        <f>MIN(40,MAX(1,INT(1+LOG(1+(E50/4)*'Thông số'!$B$31/'Thông số'!$B$30)/LOG(1+'Thông số'!$B$31))))</f>
        <v/>
      </c>
      <c r="H50" s="22">
        <f>B50/('Thông số'!$B$12*(1+'Thông số'!$B$18)^(G50-1)*'Thông số'!$B$13*(1+'Thông số'!$B$20)^(G50-1)*(('Thông số'!$B$25-1+'Thông số'!$B$24*(1+'Thông số'!$B$21)^(G50-1))/'Thông số'!$B$25))</f>
        <v/>
      </c>
    </row>
    <row r="51">
      <c r="A51" s="16" t="n">
        <v>47</v>
      </c>
      <c r="B51" s="17">
        <f>'Thông số'!$B$5*(1+'Thông số'!$B$6)^(A51-1)</f>
        <v/>
      </c>
      <c r="C51" s="17">
        <f>'Thông số'!$B$7*(1+'Thông số'!$B$8)^(A51-1)</f>
        <v/>
      </c>
      <c r="D51" s="17">
        <f>'Thông số'!$B$28*(1+'Thông số'!$B$29)^(A51-1)</f>
        <v/>
      </c>
      <c r="E51" s="17">
        <f>E50+D51*'Thông số'!$B$32</f>
        <v/>
      </c>
      <c r="F51" s="16">
        <f>IF(A51&gt;=10,INT(A51/10)*'Thông số'!$B$33,0)</f>
        <v/>
      </c>
      <c r="G51" s="16">
        <f>MIN(40,MAX(1,INT(1+LOG(1+(E51/4)*'Thông số'!$B$31/'Thông số'!$B$30)/LOG(1+'Thông số'!$B$31))))</f>
        <v/>
      </c>
      <c r="H51" s="22">
        <f>B51/('Thông số'!$B$12*(1+'Thông số'!$B$18)^(G51-1)*'Thông số'!$B$13*(1+'Thông số'!$B$20)^(G51-1)*(('Thông số'!$B$25-1+'Thông số'!$B$24*(1+'Thông số'!$B$21)^(G51-1))/'Thông số'!$B$25))</f>
        <v/>
      </c>
    </row>
    <row r="52">
      <c r="A52" s="16" t="n">
        <v>48</v>
      </c>
      <c r="B52" s="17">
        <f>'Thông số'!$B$5*(1+'Thông số'!$B$6)^(A52-1)</f>
        <v/>
      </c>
      <c r="C52" s="17">
        <f>'Thông số'!$B$7*(1+'Thông số'!$B$8)^(A52-1)</f>
        <v/>
      </c>
      <c r="D52" s="17">
        <f>'Thông số'!$B$28*(1+'Thông số'!$B$29)^(A52-1)</f>
        <v/>
      </c>
      <c r="E52" s="17">
        <f>E51+D52*'Thông số'!$B$32</f>
        <v/>
      </c>
      <c r="F52" s="16">
        <f>IF(A52&gt;=10,INT(A52/10)*'Thông số'!$B$33,0)</f>
        <v/>
      </c>
      <c r="G52" s="16">
        <f>MIN(40,MAX(1,INT(1+LOG(1+(E52/4)*'Thông số'!$B$31/'Thông số'!$B$30)/LOG(1+'Thông số'!$B$31))))</f>
        <v/>
      </c>
      <c r="H52" s="22">
        <f>B52/('Thông số'!$B$12*(1+'Thông số'!$B$18)^(G52-1)*'Thông số'!$B$13*(1+'Thông số'!$B$20)^(G52-1)*(('Thông số'!$B$25-1+'Thông số'!$B$24*(1+'Thông số'!$B$21)^(G52-1))/'Thông số'!$B$25))</f>
        <v/>
      </c>
    </row>
    <row r="53">
      <c r="A53" s="16" t="n">
        <v>49</v>
      </c>
      <c r="B53" s="17">
        <f>'Thông số'!$B$5*(1+'Thông số'!$B$6)^(A53-1)</f>
        <v/>
      </c>
      <c r="C53" s="17">
        <f>'Thông số'!$B$7*(1+'Thông số'!$B$8)^(A53-1)</f>
        <v/>
      </c>
      <c r="D53" s="17">
        <f>'Thông số'!$B$28*(1+'Thông số'!$B$29)^(A53-1)</f>
        <v/>
      </c>
      <c r="E53" s="17">
        <f>E52+D53*'Thông số'!$B$32</f>
        <v/>
      </c>
      <c r="F53" s="16">
        <f>IF(A53&gt;=10,INT(A53/10)*'Thông số'!$B$33,0)</f>
        <v/>
      </c>
      <c r="G53" s="16">
        <f>MIN(40,MAX(1,INT(1+LOG(1+(E53/4)*'Thông số'!$B$31/'Thông số'!$B$30)/LOG(1+'Thông số'!$B$31))))</f>
        <v/>
      </c>
      <c r="H53" s="22">
        <f>B53/('Thông số'!$B$12*(1+'Thông số'!$B$18)^(G53-1)*'Thông số'!$B$13*(1+'Thông số'!$B$20)^(G53-1)*(('Thông số'!$B$25-1+'Thông số'!$B$24*(1+'Thông số'!$B$21)^(G53-1))/'Thông số'!$B$25))</f>
        <v/>
      </c>
    </row>
    <row r="54">
      <c r="A54" s="16" t="n">
        <v>50</v>
      </c>
      <c r="B54" s="17">
        <f>'Thông số'!$B$5*(1+'Thông số'!$B$6)^(A54-1)</f>
        <v/>
      </c>
      <c r="C54" s="17">
        <f>'Thông số'!$B$7*(1+'Thông số'!$B$8)^(A54-1)</f>
        <v/>
      </c>
      <c r="D54" s="17">
        <f>'Thông số'!$B$28*(1+'Thông số'!$B$29)^(A54-1)</f>
        <v/>
      </c>
      <c r="E54" s="17">
        <f>E53+D54*'Thông số'!$B$32</f>
        <v/>
      </c>
      <c r="F54" s="16">
        <f>IF(A54&gt;=10,INT(A54/10)*'Thông số'!$B$33,0)</f>
        <v/>
      </c>
      <c r="G54" s="16">
        <f>MIN(40,MAX(1,INT(1+LOG(1+(E54/4)*'Thông số'!$B$31/'Thông số'!$B$30)/LOG(1+'Thông số'!$B$31))))</f>
        <v/>
      </c>
      <c r="H54" s="22">
        <f>B54/('Thông số'!$B$12*(1+'Thông số'!$B$18)^(G54-1)*'Thông số'!$B$13*(1+'Thông số'!$B$20)^(G54-1)*(('Thông số'!$B$25-1+'Thông số'!$B$24*(1+'Thông số'!$B$21)^(G54-1))/'Thông số'!$B$25))</f>
        <v/>
      </c>
    </row>
    <row r="55">
      <c r="A55" s="16" t="n">
        <v>51</v>
      </c>
      <c r="B55" s="17">
        <f>'Thông số'!$B$5*(1+'Thông số'!$B$6)^(A55-1)</f>
        <v/>
      </c>
      <c r="C55" s="17">
        <f>'Thông số'!$B$7*(1+'Thông số'!$B$8)^(A55-1)</f>
        <v/>
      </c>
      <c r="D55" s="17">
        <f>'Thông số'!$B$28*(1+'Thông số'!$B$29)^(A55-1)</f>
        <v/>
      </c>
      <c r="E55" s="17">
        <f>E54+D55*'Thông số'!$B$32</f>
        <v/>
      </c>
      <c r="F55" s="16">
        <f>IF(A55&gt;=10,INT(A55/10)*'Thông số'!$B$33,0)</f>
        <v/>
      </c>
      <c r="G55" s="16">
        <f>MIN(40,MAX(1,INT(1+LOG(1+(E55/4)*'Thông số'!$B$31/'Thông số'!$B$30)/LOG(1+'Thông số'!$B$31))))</f>
        <v/>
      </c>
      <c r="H55" s="22">
        <f>B55/('Thông số'!$B$12*(1+'Thông số'!$B$18)^(G55-1)*'Thông số'!$B$13*(1+'Thông số'!$B$20)^(G55-1)*(('Thông số'!$B$25-1+'Thông số'!$B$24*(1+'Thông số'!$B$21)^(G55-1))/'Thông số'!$B$25))</f>
        <v/>
      </c>
    </row>
    <row r="56">
      <c r="A56" s="16" t="n">
        <v>52</v>
      </c>
      <c r="B56" s="17">
        <f>'Thông số'!$B$5*(1+'Thông số'!$B$6)^(A56-1)</f>
        <v/>
      </c>
      <c r="C56" s="17">
        <f>'Thông số'!$B$7*(1+'Thông số'!$B$8)^(A56-1)</f>
        <v/>
      </c>
      <c r="D56" s="17">
        <f>'Thông số'!$B$28*(1+'Thông số'!$B$29)^(A56-1)</f>
        <v/>
      </c>
      <c r="E56" s="17">
        <f>E55+D56*'Thông số'!$B$32</f>
        <v/>
      </c>
      <c r="F56" s="16">
        <f>IF(A56&gt;=10,INT(A56/10)*'Thông số'!$B$33,0)</f>
        <v/>
      </c>
      <c r="G56" s="16">
        <f>MIN(40,MAX(1,INT(1+LOG(1+(E56/4)*'Thông số'!$B$31/'Thông số'!$B$30)/LOG(1+'Thông số'!$B$31))))</f>
        <v/>
      </c>
      <c r="H56" s="22">
        <f>B56/('Thông số'!$B$12*(1+'Thông số'!$B$18)^(G56-1)*'Thông số'!$B$13*(1+'Thông số'!$B$20)^(G56-1)*(('Thông số'!$B$25-1+'Thông số'!$B$24*(1+'Thông số'!$B$21)^(G56-1))/'Thông số'!$B$25))</f>
        <v/>
      </c>
    </row>
    <row r="57">
      <c r="A57" s="16" t="n">
        <v>53</v>
      </c>
      <c r="B57" s="17">
        <f>'Thông số'!$B$5*(1+'Thông số'!$B$6)^(A57-1)</f>
        <v/>
      </c>
      <c r="C57" s="17">
        <f>'Thông số'!$B$7*(1+'Thông số'!$B$8)^(A57-1)</f>
        <v/>
      </c>
      <c r="D57" s="17">
        <f>'Thông số'!$B$28*(1+'Thông số'!$B$29)^(A57-1)</f>
        <v/>
      </c>
      <c r="E57" s="17">
        <f>E56+D57*'Thông số'!$B$32</f>
        <v/>
      </c>
      <c r="F57" s="16">
        <f>IF(A57&gt;=10,INT(A57/10)*'Thông số'!$B$33,0)</f>
        <v/>
      </c>
      <c r="G57" s="16">
        <f>MIN(40,MAX(1,INT(1+LOG(1+(E57/4)*'Thông số'!$B$31/'Thông số'!$B$30)/LOG(1+'Thông số'!$B$31))))</f>
        <v/>
      </c>
      <c r="H57" s="22">
        <f>B57/('Thông số'!$B$12*(1+'Thông số'!$B$18)^(G57-1)*'Thông số'!$B$13*(1+'Thông số'!$B$20)^(G57-1)*(('Thông số'!$B$25-1+'Thông số'!$B$24*(1+'Thông số'!$B$21)^(G57-1))/'Thông số'!$B$25))</f>
        <v/>
      </c>
    </row>
    <row r="58">
      <c r="A58" s="16" t="n">
        <v>54</v>
      </c>
      <c r="B58" s="17">
        <f>'Thông số'!$B$5*(1+'Thông số'!$B$6)^(A58-1)</f>
        <v/>
      </c>
      <c r="C58" s="17">
        <f>'Thông số'!$B$7*(1+'Thông số'!$B$8)^(A58-1)</f>
        <v/>
      </c>
      <c r="D58" s="17">
        <f>'Thông số'!$B$28*(1+'Thông số'!$B$29)^(A58-1)</f>
        <v/>
      </c>
      <c r="E58" s="17">
        <f>E57+D58*'Thông số'!$B$32</f>
        <v/>
      </c>
      <c r="F58" s="16">
        <f>IF(A58&gt;=10,INT(A58/10)*'Thông số'!$B$33,0)</f>
        <v/>
      </c>
      <c r="G58" s="16">
        <f>MIN(40,MAX(1,INT(1+LOG(1+(E58/4)*'Thông số'!$B$31/'Thông số'!$B$30)/LOG(1+'Thông số'!$B$31))))</f>
        <v/>
      </c>
      <c r="H58" s="22">
        <f>B58/('Thông số'!$B$12*(1+'Thông số'!$B$18)^(G58-1)*'Thông số'!$B$13*(1+'Thông số'!$B$20)^(G58-1)*(('Thông số'!$B$25-1+'Thông số'!$B$24*(1+'Thông số'!$B$21)^(G58-1))/'Thông số'!$B$25))</f>
        <v/>
      </c>
    </row>
    <row r="59">
      <c r="A59" s="16" t="n">
        <v>55</v>
      </c>
      <c r="B59" s="17">
        <f>'Thông số'!$B$5*(1+'Thông số'!$B$6)^(A59-1)</f>
        <v/>
      </c>
      <c r="C59" s="17">
        <f>'Thông số'!$B$7*(1+'Thông số'!$B$8)^(A59-1)</f>
        <v/>
      </c>
      <c r="D59" s="17">
        <f>'Thông số'!$B$28*(1+'Thông số'!$B$29)^(A59-1)</f>
        <v/>
      </c>
      <c r="E59" s="17">
        <f>E58+D59*'Thông số'!$B$32</f>
        <v/>
      </c>
      <c r="F59" s="16">
        <f>IF(A59&gt;=10,INT(A59/10)*'Thông số'!$B$33,0)</f>
        <v/>
      </c>
      <c r="G59" s="16">
        <f>MIN(40,MAX(1,INT(1+LOG(1+(E59/4)*'Thông số'!$B$31/'Thông số'!$B$30)/LOG(1+'Thông số'!$B$31))))</f>
        <v/>
      </c>
      <c r="H59" s="22">
        <f>B59/('Thông số'!$B$12*(1+'Thông số'!$B$18)^(G59-1)*'Thông số'!$B$13*(1+'Thông số'!$B$20)^(G59-1)*(('Thông số'!$B$25-1+'Thông số'!$B$24*(1+'Thông số'!$B$21)^(G59-1))/'Thông số'!$B$25))</f>
        <v/>
      </c>
    </row>
    <row r="60">
      <c r="A60" s="16" t="n">
        <v>56</v>
      </c>
      <c r="B60" s="17">
        <f>'Thông số'!$B$5*(1+'Thông số'!$B$6)^(A60-1)</f>
        <v/>
      </c>
      <c r="C60" s="17">
        <f>'Thông số'!$B$7*(1+'Thông số'!$B$8)^(A60-1)</f>
        <v/>
      </c>
      <c r="D60" s="17">
        <f>'Thông số'!$B$28*(1+'Thông số'!$B$29)^(A60-1)</f>
        <v/>
      </c>
      <c r="E60" s="17">
        <f>E59+D60*'Thông số'!$B$32</f>
        <v/>
      </c>
      <c r="F60" s="16">
        <f>IF(A60&gt;=10,INT(A60/10)*'Thông số'!$B$33,0)</f>
        <v/>
      </c>
      <c r="G60" s="16">
        <f>MIN(40,MAX(1,INT(1+LOG(1+(E60/4)*'Thông số'!$B$31/'Thông số'!$B$30)/LOG(1+'Thông số'!$B$31))))</f>
        <v/>
      </c>
      <c r="H60" s="22">
        <f>B60/('Thông số'!$B$12*(1+'Thông số'!$B$18)^(G60-1)*'Thông số'!$B$13*(1+'Thông số'!$B$20)^(G60-1)*(('Thông số'!$B$25-1+'Thông số'!$B$24*(1+'Thông số'!$B$21)^(G60-1))/'Thông số'!$B$25))</f>
        <v/>
      </c>
    </row>
    <row r="61">
      <c r="A61" s="16" t="n">
        <v>57</v>
      </c>
      <c r="B61" s="17">
        <f>'Thông số'!$B$5*(1+'Thông số'!$B$6)^(A61-1)</f>
        <v/>
      </c>
      <c r="C61" s="17">
        <f>'Thông số'!$B$7*(1+'Thông số'!$B$8)^(A61-1)</f>
        <v/>
      </c>
      <c r="D61" s="17">
        <f>'Thông số'!$B$28*(1+'Thông số'!$B$29)^(A61-1)</f>
        <v/>
      </c>
      <c r="E61" s="17">
        <f>E60+D61*'Thông số'!$B$32</f>
        <v/>
      </c>
      <c r="F61" s="16">
        <f>IF(A61&gt;=10,INT(A61/10)*'Thông số'!$B$33,0)</f>
        <v/>
      </c>
      <c r="G61" s="16">
        <f>MIN(40,MAX(1,INT(1+LOG(1+(E61/4)*'Thông số'!$B$31/'Thông số'!$B$30)/LOG(1+'Thông số'!$B$31))))</f>
        <v/>
      </c>
      <c r="H61" s="22">
        <f>B61/('Thông số'!$B$12*(1+'Thông số'!$B$18)^(G61-1)*'Thông số'!$B$13*(1+'Thông số'!$B$20)^(G61-1)*(('Thông số'!$B$25-1+'Thông số'!$B$24*(1+'Thông số'!$B$21)^(G61-1))/'Thông số'!$B$25))</f>
        <v/>
      </c>
    </row>
    <row r="62">
      <c r="A62" s="16" t="n">
        <v>58</v>
      </c>
      <c r="B62" s="17">
        <f>'Thông số'!$B$5*(1+'Thông số'!$B$6)^(A62-1)</f>
        <v/>
      </c>
      <c r="C62" s="17">
        <f>'Thông số'!$B$7*(1+'Thông số'!$B$8)^(A62-1)</f>
        <v/>
      </c>
      <c r="D62" s="17">
        <f>'Thông số'!$B$28*(1+'Thông số'!$B$29)^(A62-1)</f>
        <v/>
      </c>
      <c r="E62" s="17">
        <f>E61+D62*'Thông số'!$B$32</f>
        <v/>
      </c>
      <c r="F62" s="16">
        <f>IF(A62&gt;=10,INT(A62/10)*'Thông số'!$B$33,0)</f>
        <v/>
      </c>
      <c r="G62" s="16">
        <f>MIN(40,MAX(1,INT(1+LOG(1+(E62/4)*'Thông số'!$B$31/'Thông số'!$B$30)/LOG(1+'Thông số'!$B$31))))</f>
        <v/>
      </c>
      <c r="H62" s="22">
        <f>B62/('Thông số'!$B$12*(1+'Thông số'!$B$18)^(G62-1)*'Thông số'!$B$13*(1+'Thông số'!$B$20)^(G62-1)*(('Thông số'!$B$25-1+'Thông số'!$B$24*(1+'Thông số'!$B$21)^(G62-1))/'Thông số'!$B$25))</f>
        <v/>
      </c>
    </row>
    <row r="63">
      <c r="A63" s="16" t="n">
        <v>59</v>
      </c>
      <c r="B63" s="17">
        <f>'Thông số'!$B$5*(1+'Thông số'!$B$6)^(A63-1)</f>
        <v/>
      </c>
      <c r="C63" s="17">
        <f>'Thông số'!$B$7*(1+'Thông số'!$B$8)^(A63-1)</f>
        <v/>
      </c>
      <c r="D63" s="17">
        <f>'Thông số'!$B$28*(1+'Thông số'!$B$29)^(A63-1)</f>
        <v/>
      </c>
      <c r="E63" s="17">
        <f>E62+D63*'Thông số'!$B$32</f>
        <v/>
      </c>
      <c r="F63" s="16">
        <f>IF(A63&gt;=10,INT(A63/10)*'Thông số'!$B$33,0)</f>
        <v/>
      </c>
      <c r="G63" s="16">
        <f>MIN(40,MAX(1,INT(1+LOG(1+(E63/4)*'Thông số'!$B$31/'Thông số'!$B$30)/LOG(1+'Thông số'!$B$31))))</f>
        <v/>
      </c>
      <c r="H63" s="22">
        <f>B63/('Thông số'!$B$12*(1+'Thông số'!$B$18)^(G63-1)*'Thông số'!$B$13*(1+'Thông số'!$B$20)^(G63-1)*(('Thông số'!$B$25-1+'Thông số'!$B$24*(1+'Thông số'!$B$21)^(G63-1))/'Thông số'!$B$25))</f>
        <v/>
      </c>
    </row>
    <row r="64">
      <c r="A64" s="16" t="n">
        <v>60</v>
      </c>
      <c r="B64" s="17">
        <f>'Thông số'!$B$5*(1+'Thông số'!$B$6)^(A64-1)</f>
        <v/>
      </c>
      <c r="C64" s="17">
        <f>'Thông số'!$B$7*(1+'Thông số'!$B$8)^(A64-1)</f>
        <v/>
      </c>
      <c r="D64" s="17">
        <f>'Thông số'!$B$28*(1+'Thông số'!$B$29)^(A64-1)</f>
        <v/>
      </c>
      <c r="E64" s="17">
        <f>E63+D64*'Thông số'!$B$32</f>
        <v/>
      </c>
      <c r="F64" s="16">
        <f>IF(A64&gt;=10,INT(A64/10)*'Thông số'!$B$33,0)</f>
        <v/>
      </c>
      <c r="G64" s="16">
        <f>MIN(40,MAX(1,INT(1+LOG(1+(E64/4)*'Thông số'!$B$31/'Thông số'!$B$30)/LOG(1+'Thông số'!$B$31))))</f>
        <v/>
      </c>
      <c r="H64" s="22">
        <f>B64/('Thông số'!$B$12*(1+'Thông số'!$B$18)^(G64-1)*'Thông số'!$B$13*(1+'Thông số'!$B$20)^(G64-1)*(('Thông số'!$B$25-1+'Thông số'!$B$24*(1+'Thông số'!$B$21)^(G64-1))/'Thông số'!$B$25))</f>
        <v/>
      </c>
    </row>
    <row r="65">
      <c r="A65" s="16" t="n">
        <v>61</v>
      </c>
      <c r="B65" s="17">
        <f>'Thông số'!$B$5*(1+'Thông số'!$B$6)^(A65-1)</f>
        <v/>
      </c>
      <c r="C65" s="17">
        <f>'Thông số'!$B$7*(1+'Thông số'!$B$8)^(A65-1)</f>
        <v/>
      </c>
      <c r="D65" s="17">
        <f>'Thông số'!$B$28*(1+'Thông số'!$B$29)^(A65-1)</f>
        <v/>
      </c>
      <c r="E65" s="17">
        <f>E64+D65*'Thông số'!$B$32</f>
        <v/>
      </c>
      <c r="F65" s="16">
        <f>IF(A65&gt;=10,INT(A65/10)*'Thông số'!$B$33,0)</f>
        <v/>
      </c>
      <c r="G65" s="16">
        <f>MIN(40,MAX(1,INT(1+LOG(1+(E65/4)*'Thông số'!$B$31/'Thông số'!$B$30)/LOG(1+'Thông số'!$B$31))))</f>
        <v/>
      </c>
      <c r="H65" s="22">
        <f>B65/('Thông số'!$B$12*(1+'Thông số'!$B$18)^(G65-1)*'Thông số'!$B$13*(1+'Thông số'!$B$20)^(G65-1)*(('Thông số'!$B$25-1+'Thông số'!$B$24*(1+'Thông số'!$B$21)^(G65-1))/'Thông số'!$B$25))</f>
        <v/>
      </c>
    </row>
    <row r="66">
      <c r="A66" s="16" t="n">
        <v>62</v>
      </c>
      <c r="B66" s="17">
        <f>'Thông số'!$B$5*(1+'Thông số'!$B$6)^(A66-1)</f>
        <v/>
      </c>
      <c r="C66" s="17">
        <f>'Thông số'!$B$7*(1+'Thông số'!$B$8)^(A66-1)</f>
        <v/>
      </c>
      <c r="D66" s="17">
        <f>'Thông số'!$B$28*(1+'Thông số'!$B$29)^(A66-1)</f>
        <v/>
      </c>
      <c r="E66" s="17">
        <f>E65+D66*'Thông số'!$B$32</f>
        <v/>
      </c>
      <c r="F66" s="16">
        <f>IF(A66&gt;=10,INT(A66/10)*'Thông số'!$B$33,0)</f>
        <v/>
      </c>
      <c r="G66" s="16">
        <f>MIN(40,MAX(1,INT(1+LOG(1+(E66/4)*'Thông số'!$B$31/'Thông số'!$B$30)/LOG(1+'Thông số'!$B$31))))</f>
        <v/>
      </c>
      <c r="H66" s="22">
        <f>B66/('Thông số'!$B$12*(1+'Thông số'!$B$18)^(G66-1)*'Thông số'!$B$13*(1+'Thông số'!$B$20)^(G66-1)*(('Thông số'!$B$25-1+'Thông số'!$B$24*(1+'Thông số'!$B$21)^(G66-1))/'Thông số'!$B$25))</f>
        <v/>
      </c>
    </row>
    <row r="67">
      <c r="A67" s="16" t="n">
        <v>63</v>
      </c>
      <c r="B67" s="17">
        <f>'Thông số'!$B$5*(1+'Thông số'!$B$6)^(A67-1)</f>
        <v/>
      </c>
      <c r="C67" s="17">
        <f>'Thông số'!$B$7*(1+'Thông số'!$B$8)^(A67-1)</f>
        <v/>
      </c>
      <c r="D67" s="17">
        <f>'Thông số'!$B$28*(1+'Thông số'!$B$29)^(A67-1)</f>
        <v/>
      </c>
      <c r="E67" s="17">
        <f>E66+D67*'Thông số'!$B$32</f>
        <v/>
      </c>
      <c r="F67" s="16">
        <f>IF(A67&gt;=10,INT(A67/10)*'Thông số'!$B$33,0)</f>
        <v/>
      </c>
      <c r="G67" s="16">
        <f>MIN(40,MAX(1,INT(1+LOG(1+(E67/4)*'Thông số'!$B$31/'Thông số'!$B$30)/LOG(1+'Thông số'!$B$31))))</f>
        <v/>
      </c>
      <c r="H67" s="22">
        <f>B67/('Thông số'!$B$12*(1+'Thông số'!$B$18)^(G67-1)*'Thông số'!$B$13*(1+'Thông số'!$B$20)^(G67-1)*(('Thông số'!$B$25-1+'Thông số'!$B$24*(1+'Thông số'!$B$21)^(G67-1))/'Thông số'!$B$25))</f>
        <v/>
      </c>
    </row>
    <row r="68">
      <c r="A68" s="16" t="n">
        <v>64</v>
      </c>
      <c r="B68" s="17">
        <f>'Thông số'!$B$5*(1+'Thông số'!$B$6)^(A68-1)</f>
        <v/>
      </c>
      <c r="C68" s="17">
        <f>'Thông số'!$B$7*(1+'Thông số'!$B$8)^(A68-1)</f>
        <v/>
      </c>
      <c r="D68" s="17">
        <f>'Thông số'!$B$28*(1+'Thông số'!$B$29)^(A68-1)</f>
        <v/>
      </c>
      <c r="E68" s="17">
        <f>E67+D68*'Thông số'!$B$32</f>
        <v/>
      </c>
      <c r="F68" s="16">
        <f>IF(A68&gt;=10,INT(A68/10)*'Thông số'!$B$33,0)</f>
        <v/>
      </c>
      <c r="G68" s="16">
        <f>MIN(40,MAX(1,INT(1+LOG(1+(E68/4)*'Thông số'!$B$31/'Thông số'!$B$30)/LOG(1+'Thông số'!$B$31))))</f>
        <v/>
      </c>
      <c r="H68" s="22">
        <f>B68/('Thông số'!$B$12*(1+'Thông số'!$B$18)^(G68-1)*'Thông số'!$B$13*(1+'Thông số'!$B$20)^(G68-1)*(('Thông số'!$B$25-1+'Thông số'!$B$24*(1+'Thông số'!$B$21)^(G68-1))/'Thông số'!$B$25))</f>
        <v/>
      </c>
    </row>
    <row r="69">
      <c r="A69" s="16" t="n">
        <v>65</v>
      </c>
      <c r="B69" s="17">
        <f>'Thông số'!$B$5*(1+'Thông số'!$B$6)^(A69-1)</f>
        <v/>
      </c>
      <c r="C69" s="17">
        <f>'Thông số'!$B$7*(1+'Thông số'!$B$8)^(A69-1)</f>
        <v/>
      </c>
      <c r="D69" s="17">
        <f>'Thông số'!$B$28*(1+'Thông số'!$B$29)^(A69-1)</f>
        <v/>
      </c>
      <c r="E69" s="17">
        <f>E68+D69*'Thông số'!$B$32</f>
        <v/>
      </c>
      <c r="F69" s="16">
        <f>IF(A69&gt;=10,INT(A69/10)*'Thông số'!$B$33,0)</f>
        <v/>
      </c>
      <c r="G69" s="16">
        <f>MIN(40,MAX(1,INT(1+LOG(1+(E69/4)*'Thông số'!$B$31/'Thông số'!$B$30)/LOG(1+'Thông số'!$B$31))))</f>
        <v/>
      </c>
      <c r="H69" s="22">
        <f>B69/('Thông số'!$B$12*(1+'Thông số'!$B$18)^(G69-1)*'Thông số'!$B$13*(1+'Thông số'!$B$20)^(G69-1)*(('Thông số'!$B$25-1+'Thông số'!$B$24*(1+'Thông số'!$B$21)^(G69-1))/'Thông số'!$B$25))</f>
        <v/>
      </c>
    </row>
    <row r="70">
      <c r="A70" s="16" t="n">
        <v>66</v>
      </c>
      <c r="B70" s="17">
        <f>'Thông số'!$B$5*(1+'Thông số'!$B$6)^(A70-1)</f>
        <v/>
      </c>
      <c r="C70" s="17">
        <f>'Thông số'!$B$7*(1+'Thông số'!$B$8)^(A70-1)</f>
        <v/>
      </c>
      <c r="D70" s="17">
        <f>'Thông số'!$B$28*(1+'Thông số'!$B$29)^(A70-1)</f>
        <v/>
      </c>
      <c r="E70" s="17">
        <f>E69+D70*'Thông số'!$B$32</f>
        <v/>
      </c>
      <c r="F70" s="16">
        <f>IF(A70&gt;=10,INT(A70/10)*'Thông số'!$B$33,0)</f>
        <v/>
      </c>
      <c r="G70" s="16">
        <f>MIN(40,MAX(1,INT(1+LOG(1+(E70/4)*'Thông số'!$B$31/'Thông số'!$B$30)/LOG(1+'Thông số'!$B$31))))</f>
        <v/>
      </c>
      <c r="H70" s="22">
        <f>B70/('Thông số'!$B$12*(1+'Thông số'!$B$18)^(G70-1)*'Thông số'!$B$13*(1+'Thông số'!$B$20)^(G70-1)*(('Thông số'!$B$25-1+'Thông số'!$B$24*(1+'Thông số'!$B$21)^(G70-1))/'Thông số'!$B$25))</f>
        <v/>
      </c>
    </row>
    <row r="71">
      <c r="A71" s="16" t="n">
        <v>67</v>
      </c>
      <c r="B71" s="17">
        <f>'Thông số'!$B$5*(1+'Thông số'!$B$6)^(A71-1)</f>
        <v/>
      </c>
      <c r="C71" s="17">
        <f>'Thông số'!$B$7*(1+'Thông số'!$B$8)^(A71-1)</f>
        <v/>
      </c>
      <c r="D71" s="17">
        <f>'Thông số'!$B$28*(1+'Thông số'!$B$29)^(A71-1)</f>
        <v/>
      </c>
      <c r="E71" s="17">
        <f>E70+D71*'Thông số'!$B$32</f>
        <v/>
      </c>
      <c r="F71" s="16">
        <f>IF(A71&gt;=10,INT(A71/10)*'Thông số'!$B$33,0)</f>
        <v/>
      </c>
      <c r="G71" s="16">
        <f>MIN(40,MAX(1,INT(1+LOG(1+(E71/4)*'Thông số'!$B$31/'Thông số'!$B$30)/LOG(1+'Thông số'!$B$31))))</f>
        <v/>
      </c>
      <c r="H71" s="22">
        <f>B71/('Thông số'!$B$12*(1+'Thông số'!$B$18)^(G71-1)*'Thông số'!$B$13*(1+'Thông số'!$B$20)^(G71-1)*(('Thông số'!$B$25-1+'Thông số'!$B$24*(1+'Thông số'!$B$21)^(G71-1))/'Thông số'!$B$25))</f>
        <v/>
      </c>
    </row>
    <row r="72">
      <c r="A72" s="16" t="n">
        <v>68</v>
      </c>
      <c r="B72" s="17">
        <f>'Thông số'!$B$5*(1+'Thông số'!$B$6)^(A72-1)</f>
        <v/>
      </c>
      <c r="C72" s="17">
        <f>'Thông số'!$B$7*(1+'Thông số'!$B$8)^(A72-1)</f>
        <v/>
      </c>
      <c r="D72" s="17">
        <f>'Thông số'!$B$28*(1+'Thông số'!$B$29)^(A72-1)</f>
        <v/>
      </c>
      <c r="E72" s="17">
        <f>E71+D72*'Thông số'!$B$32</f>
        <v/>
      </c>
      <c r="F72" s="16">
        <f>IF(A72&gt;=10,INT(A72/10)*'Thông số'!$B$33,0)</f>
        <v/>
      </c>
      <c r="G72" s="16">
        <f>MIN(40,MAX(1,INT(1+LOG(1+(E72/4)*'Thông số'!$B$31/'Thông số'!$B$30)/LOG(1+'Thông số'!$B$31))))</f>
        <v/>
      </c>
      <c r="H72" s="22">
        <f>B72/('Thông số'!$B$12*(1+'Thông số'!$B$18)^(G72-1)*'Thông số'!$B$13*(1+'Thông số'!$B$20)^(G72-1)*(('Thông số'!$B$25-1+'Thông số'!$B$24*(1+'Thông số'!$B$21)^(G72-1))/'Thông số'!$B$25))</f>
        <v/>
      </c>
    </row>
    <row r="73">
      <c r="A73" s="16" t="n">
        <v>69</v>
      </c>
      <c r="B73" s="17">
        <f>'Thông số'!$B$5*(1+'Thông số'!$B$6)^(A73-1)</f>
        <v/>
      </c>
      <c r="C73" s="17">
        <f>'Thông số'!$B$7*(1+'Thông số'!$B$8)^(A73-1)</f>
        <v/>
      </c>
      <c r="D73" s="17">
        <f>'Thông số'!$B$28*(1+'Thông số'!$B$29)^(A73-1)</f>
        <v/>
      </c>
      <c r="E73" s="17">
        <f>E72+D73*'Thông số'!$B$32</f>
        <v/>
      </c>
      <c r="F73" s="16">
        <f>IF(A73&gt;=10,INT(A73/10)*'Thông số'!$B$33,0)</f>
        <v/>
      </c>
      <c r="G73" s="16">
        <f>MIN(40,MAX(1,INT(1+LOG(1+(E73/4)*'Thông số'!$B$31/'Thông số'!$B$30)/LOG(1+'Thông số'!$B$31))))</f>
        <v/>
      </c>
      <c r="H73" s="22">
        <f>B73/('Thông số'!$B$12*(1+'Thông số'!$B$18)^(G73-1)*'Thông số'!$B$13*(1+'Thông số'!$B$20)^(G73-1)*(('Thông số'!$B$25-1+'Thông số'!$B$24*(1+'Thông số'!$B$21)^(G73-1))/'Thông số'!$B$25))</f>
        <v/>
      </c>
    </row>
    <row r="74">
      <c r="A74" s="16" t="n">
        <v>70</v>
      </c>
      <c r="B74" s="17">
        <f>'Thông số'!$B$5*(1+'Thông số'!$B$6)^(A74-1)</f>
        <v/>
      </c>
      <c r="C74" s="17">
        <f>'Thông số'!$B$7*(1+'Thông số'!$B$8)^(A74-1)</f>
        <v/>
      </c>
      <c r="D74" s="17">
        <f>'Thông số'!$B$28*(1+'Thông số'!$B$29)^(A74-1)</f>
        <v/>
      </c>
      <c r="E74" s="17">
        <f>E73+D74*'Thông số'!$B$32</f>
        <v/>
      </c>
      <c r="F74" s="16">
        <f>IF(A74&gt;=10,INT(A74/10)*'Thông số'!$B$33,0)</f>
        <v/>
      </c>
      <c r="G74" s="16">
        <f>MIN(40,MAX(1,INT(1+LOG(1+(E74/4)*'Thông số'!$B$31/'Thông số'!$B$30)/LOG(1+'Thông số'!$B$31))))</f>
        <v/>
      </c>
      <c r="H74" s="22">
        <f>B74/('Thông số'!$B$12*(1+'Thông số'!$B$18)^(G74-1)*'Thông số'!$B$13*(1+'Thông số'!$B$20)^(G74-1)*(('Thông số'!$B$25-1+'Thông số'!$B$24*(1+'Thông số'!$B$21)^(G74-1))/'Thông số'!$B$25))</f>
        <v/>
      </c>
    </row>
    <row r="75">
      <c r="A75" s="16" t="n">
        <v>71</v>
      </c>
      <c r="B75" s="17">
        <f>'Thông số'!$B$5*(1+'Thông số'!$B$6)^(A75-1)</f>
        <v/>
      </c>
      <c r="C75" s="17">
        <f>'Thông số'!$B$7*(1+'Thông số'!$B$8)^(A75-1)</f>
        <v/>
      </c>
      <c r="D75" s="17">
        <f>'Thông số'!$B$28*(1+'Thông số'!$B$29)^(A75-1)</f>
        <v/>
      </c>
      <c r="E75" s="17">
        <f>E74+D75*'Thông số'!$B$32</f>
        <v/>
      </c>
      <c r="F75" s="16">
        <f>IF(A75&gt;=10,INT(A75/10)*'Thông số'!$B$33,0)</f>
        <v/>
      </c>
      <c r="G75" s="16">
        <f>MIN(40,MAX(1,INT(1+LOG(1+(E75/4)*'Thông số'!$B$31/'Thông số'!$B$30)/LOG(1+'Thông số'!$B$31))))</f>
        <v/>
      </c>
      <c r="H75" s="22">
        <f>B75/('Thông số'!$B$12*(1+'Thông số'!$B$18)^(G75-1)*'Thông số'!$B$13*(1+'Thông số'!$B$20)^(G75-1)*(('Thông số'!$B$25-1+'Thông số'!$B$24*(1+'Thông số'!$B$21)^(G75-1))/'Thông số'!$B$25))</f>
        <v/>
      </c>
    </row>
    <row r="76">
      <c r="A76" s="16" t="n">
        <v>72</v>
      </c>
      <c r="B76" s="17">
        <f>'Thông số'!$B$5*(1+'Thông số'!$B$6)^(A76-1)</f>
        <v/>
      </c>
      <c r="C76" s="17">
        <f>'Thông số'!$B$7*(1+'Thông số'!$B$8)^(A76-1)</f>
        <v/>
      </c>
      <c r="D76" s="17">
        <f>'Thông số'!$B$28*(1+'Thông số'!$B$29)^(A76-1)</f>
        <v/>
      </c>
      <c r="E76" s="17">
        <f>E75+D76*'Thông số'!$B$32</f>
        <v/>
      </c>
      <c r="F76" s="16">
        <f>IF(A76&gt;=10,INT(A76/10)*'Thông số'!$B$33,0)</f>
        <v/>
      </c>
      <c r="G76" s="16">
        <f>MIN(40,MAX(1,INT(1+LOG(1+(E76/4)*'Thông số'!$B$31/'Thông số'!$B$30)/LOG(1+'Thông số'!$B$31))))</f>
        <v/>
      </c>
      <c r="H76" s="22">
        <f>B76/('Thông số'!$B$12*(1+'Thông số'!$B$18)^(G76-1)*'Thông số'!$B$13*(1+'Thông số'!$B$20)^(G76-1)*(('Thông số'!$B$25-1+'Thông số'!$B$24*(1+'Thông số'!$B$21)^(G76-1))/'Thông số'!$B$25))</f>
        <v/>
      </c>
    </row>
    <row r="77">
      <c r="A77" s="16" t="n">
        <v>73</v>
      </c>
      <c r="B77" s="17">
        <f>'Thông số'!$B$5*(1+'Thông số'!$B$6)^(A77-1)</f>
        <v/>
      </c>
      <c r="C77" s="17">
        <f>'Thông số'!$B$7*(1+'Thông số'!$B$8)^(A77-1)</f>
        <v/>
      </c>
      <c r="D77" s="17">
        <f>'Thông số'!$B$28*(1+'Thông số'!$B$29)^(A77-1)</f>
        <v/>
      </c>
      <c r="E77" s="17">
        <f>E76+D77*'Thông số'!$B$32</f>
        <v/>
      </c>
      <c r="F77" s="16">
        <f>IF(A77&gt;=10,INT(A77/10)*'Thông số'!$B$33,0)</f>
        <v/>
      </c>
      <c r="G77" s="16">
        <f>MIN(40,MAX(1,INT(1+LOG(1+(E77/4)*'Thông số'!$B$31/'Thông số'!$B$30)/LOG(1+'Thông số'!$B$31))))</f>
        <v/>
      </c>
      <c r="H77" s="22">
        <f>B77/('Thông số'!$B$12*(1+'Thông số'!$B$18)^(G77-1)*'Thông số'!$B$13*(1+'Thông số'!$B$20)^(G77-1)*(('Thông số'!$B$25-1+'Thông số'!$B$24*(1+'Thông số'!$B$21)^(G77-1))/'Thông số'!$B$25))</f>
        <v/>
      </c>
    </row>
    <row r="78">
      <c r="A78" s="16" t="n">
        <v>74</v>
      </c>
      <c r="B78" s="17">
        <f>'Thông số'!$B$5*(1+'Thông số'!$B$6)^(A78-1)</f>
        <v/>
      </c>
      <c r="C78" s="17">
        <f>'Thông số'!$B$7*(1+'Thông số'!$B$8)^(A78-1)</f>
        <v/>
      </c>
      <c r="D78" s="17">
        <f>'Thông số'!$B$28*(1+'Thông số'!$B$29)^(A78-1)</f>
        <v/>
      </c>
      <c r="E78" s="17">
        <f>E77+D78*'Thông số'!$B$32</f>
        <v/>
      </c>
      <c r="F78" s="16">
        <f>IF(A78&gt;=10,INT(A78/10)*'Thông số'!$B$33,0)</f>
        <v/>
      </c>
      <c r="G78" s="16">
        <f>MIN(40,MAX(1,INT(1+LOG(1+(E78/4)*'Thông số'!$B$31/'Thông số'!$B$30)/LOG(1+'Thông số'!$B$31))))</f>
        <v/>
      </c>
      <c r="H78" s="22">
        <f>B78/('Thông số'!$B$12*(1+'Thông số'!$B$18)^(G78-1)*'Thông số'!$B$13*(1+'Thông số'!$B$20)^(G78-1)*(('Thông số'!$B$25-1+'Thông số'!$B$24*(1+'Thông số'!$B$21)^(G78-1))/'Thông số'!$B$25))</f>
        <v/>
      </c>
    </row>
    <row r="79">
      <c r="A79" s="16" t="n">
        <v>75</v>
      </c>
      <c r="B79" s="17">
        <f>'Thông số'!$B$5*(1+'Thông số'!$B$6)^(A79-1)</f>
        <v/>
      </c>
      <c r="C79" s="17">
        <f>'Thông số'!$B$7*(1+'Thông số'!$B$8)^(A79-1)</f>
        <v/>
      </c>
      <c r="D79" s="17">
        <f>'Thông số'!$B$28*(1+'Thông số'!$B$29)^(A79-1)</f>
        <v/>
      </c>
      <c r="E79" s="17">
        <f>E78+D79*'Thông số'!$B$32</f>
        <v/>
      </c>
      <c r="F79" s="16">
        <f>IF(A79&gt;=10,INT(A79/10)*'Thông số'!$B$33,0)</f>
        <v/>
      </c>
      <c r="G79" s="16">
        <f>MIN(40,MAX(1,INT(1+LOG(1+(E79/4)*'Thông số'!$B$31/'Thông số'!$B$30)/LOG(1+'Thông số'!$B$31))))</f>
        <v/>
      </c>
      <c r="H79" s="22">
        <f>B79/('Thông số'!$B$12*(1+'Thông số'!$B$18)^(G79-1)*'Thông số'!$B$13*(1+'Thông số'!$B$20)^(G79-1)*(('Thông số'!$B$25-1+'Thông số'!$B$24*(1+'Thông số'!$B$21)^(G79-1))/'Thông số'!$B$25))</f>
        <v/>
      </c>
    </row>
    <row r="80">
      <c r="A80" s="16" t="n">
        <v>76</v>
      </c>
      <c r="B80" s="17">
        <f>'Thông số'!$B$5*(1+'Thông số'!$B$6)^(A80-1)</f>
        <v/>
      </c>
      <c r="C80" s="17">
        <f>'Thông số'!$B$7*(1+'Thông số'!$B$8)^(A80-1)</f>
        <v/>
      </c>
      <c r="D80" s="17">
        <f>'Thông số'!$B$28*(1+'Thông số'!$B$29)^(A80-1)</f>
        <v/>
      </c>
      <c r="E80" s="17">
        <f>E79+D80*'Thông số'!$B$32</f>
        <v/>
      </c>
      <c r="F80" s="16">
        <f>IF(A80&gt;=10,INT(A80/10)*'Thông số'!$B$33,0)</f>
        <v/>
      </c>
      <c r="G80" s="16">
        <f>MIN(40,MAX(1,INT(1+LOG(1+(E80/4)*'Thông số'!$B$31/'Thông số'!$B$30)/LOG(1+'Thông số'!$B$31))))</f>
        <v/>
      </c>
      <c r="H80" s="22">
        <f>B80/('Thông số'!$B$12*(1+'Thông số'!$B$18)^(G80-1)*'Thông số'!$B$13*(1+'Thông số'!$B$20)^(G80-1)*(('Thông số'!$B$25-1+'Thông số'!$B$24*(1+'Thông số'!$B$21)^(G80-1))/'Thông số'!$B$25))</f>
        <v/>
      </c>
    </row>
    <row r="81">
      <c r="A81" s="16" t="n">
        <v>77</v>
      </c>
      <c r="B81" s="17">
        <f>'Thông số'!$B$5*(1+'Thông số'!$B$6)^(A81-1)</f>
        <v/>
      </c>
      <c r="C81" s="17">
        <f>'Thông số'!$B$7*(1+'Thông số'!$B$8)^(A81-1)</f>
        <v/>
      </c>
      <c r="D81" s="17">
        <f>'Thông số'!$B$28*(1+'Thông số'!$B$29)^(A81-1)</f>
        <v/>
      </c>
      <c r="E81" s="17">
        <f>E80+D81*'Thông số'!$B$32</f>
        <v/>
      </c>
      <c r="F81" s="16">
        <f>IF(A81&gt;=10,INT(A81/10)*'Thông số'!$B$33,0)</f>
        <v/>
      </c>
      <c r="G81" s="16">
        <f>MIN(40,MAX(1,INT(1+LOG(1+(E81/4)*'Thông số'!$B$31/'Thông số'!$B$30)/LOG(1+'Thông số'!$B$31))))</f>
        <v/>
      </c>
      <c r="H81" s="22">
        <f>B81/('Thông số'!$B$12*(1+'Thông số'!$B$18)^(G81-1)*'Thông số'!$B$13*(1+'Thông số'!$B$20)^(G81-1)*(('Thông số'!$B$25-1+'Thông số'!$B$24*(1+'Thông số'!$B$21)^(G81-1))/'Thông số'!$B$25))</f>
        <v/>
      </c>
    </row>
    <row r="82">
      <c r="A82" s="16" t="n">
        <v>78</v>
      </c>
      <c r="B82" s="17">
        <f>'Thông số'!$B$5*(1+'Thông số'!$B$6)^(A82-1)</f>
        <v/>
      </c>
      <c r="C82" s="17">
        <f>'Thông số'!$B$7*(1+'Thông số'!$B$8)^(A82-1)</f>
        <v/>
      </c>
      <c r="D82" s="17">
        <f>'Thông số'!$B$28*(1+'Thông số'!$B$29)^(A82-1)</f>
        <v/>
      </c>
      <c r="E82" s="17">
        <f>E81+D82*'Thông số'!$B$32</f>
        <v/>
      </c>
      <c r="F82" s="16">
        <f>IF(A82&gt;=10,INT(A82/10)*'Thông số'!$B$33,0)</f>
        <v/>
      </c>
      <c r="G82" s="16">
        <f>MIN(40,MAX(1,INT(1+LOG(1+(E82/4)*'Thông số'!$B$31/'Thông số'!$B$30)/LOG(1+'Thông số'!$B$31))))</f>
        <v/>
      </c>
      <c r="H82" s="22">
        <f>B82/('Thông số'!$B$12*(1+'Thông số'!$B$18)^(G82-1)*'Thông số'!$B$13*(1+'Thông số'!$B$20)^(G82-1)*(('Thông số'!$B$25-1+'Thông số'!$B$24*(1+'Thông số'!$B$21)^(G82-1))/'Thông số'!$B$25))</f>
        <v/>
      </c>
    </row>
    <row r="83">
      <c r="A83" s="16" t="n">
        <v>79</v>
      </c>
      <c r="B83" s="17">
        <f>'Thông số'!$B$5*(1+'Thông số'!$B$6)^(A83-1)</f>
        <v/>
      </c>
      <c r="C83" s="17">
        <f>'Thông số'!$B$7*(1+'Thông số'!$B$8)^(A83-1)</f>
        <v/>
      </c>
      <c r="D83" s="17">
        <f>'Thông số'!$B$28*(1+'Thông số'!$B$29)^(A83-1)</f>
        <v/>
      </c>
      <c r="E83" s="17">
        <f>E82+D83*'Thông số'!$B$32</f>
        <v/>
      </c>
      <c r="F83" s="16">
        <f>IF(A83&gt;=10,INT(A83/10)*'Thông số'!$B$33,0)</f>
        <v/>
      </c>
      <c r="G83" s="16">
        <f>MIN(40,MAX(1,INT(1+LOG(1+(E83/4)*'Thông số'!$B$31/'Thông số'!$B$30)/LOG(1+'Thông số'!$B$31))))</f>
        <v/>
      </c>
      <c r="H83" s="22">
        <f>B83/('Thông số'!$B$12*(1+'Thông số'!$B$18)^(G83-1)*'Thông số'!$B$13*(1+'Thông số'!$B$20)^(G83-1)*(('Thông số'!$B$25-1+'Thông số'!$B$24*(1+'Thông số'!$B$21)^(G83-1))/'Thông số'!$B$25))</f>
        <v/>
      </c>
    </row>
    <row r="84">
      <c r="A84" s="16" t="n">
        <v>80</v>
      </c>
      <c r="B84" s="17">
        <f>'Thông số'!$B$5*(1+'Thông số'!$B$6)^(A84-1)</f>
        <v/>
      </c>
      <c r="C84" s="17">
        <f>'Thông số'!$B$7*(1+'Thông số'!$B$8)^(A84-1)</f>
        <v/>
      </c>
      <c r="D84" s="17">
        <f>'Thông số'!$B$28*(1+'Thông số'!$B$29)^(A84-1)</f>
        <v/>
      </c>
      <c r="E84" s="17">
        <f>E83+D84*'Thông số'!$B$32</f>
        <v/>
      </c>
      <c r="F84" s="16">
        <f>IF(A84&gt;=10,INT(A84/10)*'Thông số'!$B$33,0)</f>
        <v/>
      </c>
      <c r="G84" s="16">
        <f>MIN(40,MAX(1,INT(1+LOG(1+(E84/4)*'Thông số'!$B$31/'Thông số'!$B$30)/LOG(1+'Thông số'!$B$31))))</f>
        <v/>
      </c>
      <c r="H84" s="22">
        <f>B84/('Thông số'!$B$12*(1+'Thông số'!$B$18)^(G84-1)*'Thông số'!$B$13*(1+'Thông số'!$B$20)^(G84-1)*(('Thông số'!$B$25-1+'Thông số'!$B$24*(1+'Thông số'!$B$21)^(G84-1))/'Thông số'!$B$25))</f>
        <v/>
      </c>
    </row>
    <row r="85">
      <c r="A85" s="16" t="n">
        <v>81</v>
      </c>
      <c r="B85" s="17">
        <f>'Thông số'!$B$5*(1+'Thông số'!$B$6)^(A85-1)</f>
        <v/>
      </c>
      <c r="C85" s="17">
        <f>'Thông số'!$B$7*(1+'Thông số'!$B$8)^(A85-1)</f>
        <v/>
      </c>
      <c r="D85" s="17">
        <f>'Thông số'!$B$28*(1+'Thông số'!$B$29)^(A85-1)</f>
        <v/>
      </c>
      <c r="E85" s="17">
        <f>E84+D85*'Thông số'!$B$32</f>
        <v/>
      </c>
      <c r="F85" s="16">
        <f>IF(A85&gt;=10,INT(A85/10)*'Thông số'!$B$33,0)</f>
        <v/>
      </c>
      <c r="G85" s="16">
        <f>MIN(40,MAX(1,INT(1+LOG(1+(E85/4)*'Thông số'!$B$31/'Thông số'!$B$30)/LOG(1+'Thông số'!$B$31))))</f>
        <v/>
      </c>
      <c r="H85" s="22">
        <f>B85/('Thông số'!$B$12*(1+'Thông số'!$B$18)^(G85-1)*'Thông số'!$B$13*(1+'Thông số'!$B$20)^(G85-1)*(('Thông số'!$B$25-1+'Thông số'!$B$24*(1+'Thông số'!$B$21)^(G85-1))/'Thông số'!$B$25))</f>
        <v/>
      </c>
    </row>
    <row r="86">
      <c r="A86" s="16" t="n">
        <v>82</v>
      </c>
      <c r="B86" s="17">
        <f>'Thông số'!$B$5*(1+'Thông số'!$B$6)^(A86-1)</f>
        <v/>
      </c>
      <c r="C86" s="17">
        <f>'Thông số'!$B$7*(1+'Thông số'!$B$8)^(A86-1)</f>
        <v/>
      </c>
      <c r="D86" s="17">
        <f>'Thông số'!$B$28*(1+'Thông số'!$B$29)^(A86-1)</f>
        <v/>
      </c>
      <c r="E86" s="17">
        <f>E85+D86*'Thông số'!$B$32</f>
        <v/>
      </c>
      <c r="F86" s="16">
        <f>IF(A86&gt;=10,INT(A86/10)*'Thông số'!$B$33,0)</f>
        <v/>
      </c>
      <c r="G86" s="16">
        <f>MIN(40,MAX(1,INT(1+LOG(1+(E86/4)*'Thông số'!$B$31/'Thông số'!$B$30)/LOG(1+'Thông số'!$B$31))))</f>
        <v/>
      </c>
      <c r="H86" s="22">
        <f>B86/('Thông số'!$B$12*(1+'Thông số'!$B$18)^(G86-1)*'Thông số'!$B$13*(1+'Thông số'!$B$20)^(G86-1)*(('Thông số'!$B$25-1+'Thông số'!$B$24*(1+'Thông số'!$B$21)^(G86-1))/'Thông số'!$B$25))</f>
        <v/>
      </c>
    </row>
    <row r="87">
      <c r="A87" s="16" t="n">
        <v>83</v>
      </c>
      <c r="B87" s="17">
        <f>'Thông số'!$B$5*(1+'Thông số'!$B$6)^(A87-1)</f>
        <v/>
      </c>
      <c r="C87" s="17">
        <f>'Thông số'!$B$7*(1+'Thông số'!$B$8)^(A87-1)</f>
        <v/>
      </c>
      <c r="D87" s="17">
        <f>'Thông số'!$B$28*(1+'Thông số'!$B$29)^(A87-1)</f>
        <v/>
      </c>
      <c r="E87" s="17">
        <f>E86+D87*'Thông số'!$B$32</f>
        <v/>
      </c>
      <c r="F87" s="16">
        <f>IF(A87&gt;=10,INT(A87/10)*'Thông số'!$B$33,0)</f>
        <v/>
      </c>
      <c r="G87" s="16">
        <f>MIN(40,MAX(1,INT(1+LOG(1+(E87/4)*'Thông số'!$B$31/'Thông số'!$B$30)/LOG(1+'Thông số'!$B$31))))</f>
        <v/>
      </c>
      <c r="H87" s="22">
        <f>B87/('Thông số'!$B$12*(1+'Thông số'!$B$18)^(G87-1)*'Thông số'!$B$13*(1+'Thông số'!$B$20)^(G87-1)*(('Thông số'!$B$25-1+'Thông số'!$B$24*(1+'Thông số'!$B$21)^(G87-1))/'Thông số'!$B$25))</f>
        <v/>
      </c>
    </row>
    <row r="88">
      <c r="A88" s="16" t="n">
        <v>84</v>
      </c>
      <c r="B88" s="17">
        <f>'Thông số'!$B$5*(1+'Thông số'!$B$6)^(A88-1)</f>
        <v/>
      </c>
      <c r="C88" s="17">
        <f>'Thông số'!$B$7*(1+'Thông số'!$B$8)^(A88-1)</f>
        <v/>
      </c>
      <c r="D88" s="17">
        <f>'Thông số'!$B$28*(1+'Thông số'!$B$29)^(A88-1)</f>
        <v/>
      </c>
      <c r="E88" s="17">
        <f>E87+D88*'Thông số'!$B$32</f>
        <v/>
      </c>
      <c r="F88" s="16">
        <f>IF(A88&gt;=10,INT(A88/10)*'Thông số'!$B$33,0)</f>
        <v/>
      </c>
      <c r="G88" s="16">
        <f>MIN(40,MAX(1,INT(1+LOG(1+(E88/4)*'Thông số'!$B$31/'Thông số'!$B$30)/LOG(1+'Thông số'!$B$31))))</f>
        <v/>
      </c>
      <c r="H88" s="22">
        <f>B88/('Thông số'!$B$12*(1+'Thông số'!$B$18)^(G88-1)*'Thông số'!$B$13*(1+'Thông số'!$B$20)^(G88-1)*(('Thông số'!$B$25-1+'Thông số'!$B$24*(1+'Thông số'!$B$21)^(G88-1))/'Thông số'!$B$25))</f>
        <v/>
      </c>
    </row>
    <row r="89">
      <c r="A89" s="16" t="n">
        <v>85</v>
      </c>
      <c r="B89" s="17">
        <f>'Thông số'!$B$5*(1+'Thông số'!$B$6)^(A89-1)</f>
        <v/>
      </c>
      <c r="C89" s="17">
        <f>'Thông số'!$B$7*(1+'Thông số'!$B$8)^(A89-1)</f>
        <v/>
      </c>
      <c r="D89" s="17">
        <f>'Thông số'!$B$28*(1+'Thông số'!$B$29)^(A89-1)</f>
        <v/>
      </c>
      <c r="E89" s="17">
        <f>E88+D89*'Thông số'!$B$32</f>
        <v/>
      </c>
      <c r="F89" s="16">
        <f>IF(A89&gt;=10,INT(A89/10)*'Thông số'!$B$33,0)</f>
        <v/>
      </c>
      <c r="G89" s="16">
        <f>MIN(40,MAX(1,INT(1+LOG(1+(E89/4)*'Thông số'!$B$31/'Thông số'!$B$30)/LOG(1+'Thông số'!$B$31))))</f>
        <v/>
      </c>
      <c r="H89" s="22">
        <f>B89/('Thông số'!$B$12*(1+'Thông số'!$B$18)^(G89-1)*'Thông số'!$B$13*(1+'Thông số'!$B$20)^(G89-1)*(('Thông số'!$B$25-1+'Thông số'!$B$24*(1+'Thông số'!$B$21)^(G89-1))/'Thông số'!$B$25))</f>
        <v/>
      </c>
    </row>
    <row r="90">
      <c r="A90" s="16" t="n">
        <v>86</v>
      </c>
      <c r="B90" s="17">
        <f>'Thông số'!$B$5*(1+'Thông số'!$B$6)^(A90-1)</f>
        <v/>
      </c>
      <c r="C90" s="17">
        <f>'Thông số'!$B$7*(1+'Thông số'!$B$8)^(A90-1)</f>
        <v/>
      </c>
      <c r="D90" s="17">
        <f>'Thông số'!$B$28*(1+'Thông số'!$B$29)^(A90-1)</f>
        <v/>
      </c>
      <c r="E90" s="17">
        <f>E89+D90*'Thông số'!$B$32</f>
        <v/>
      </c>
      <c r="F90" s="16">
        <f>IF(A90&gt;=10,INT(A90/10)*'Thông số'!$B$33,0)</f>
        <v/>
      </c>
      <c r="G90" s="16">
        <f>MIN(40,MAX(1,INT(1+LOG(1+(E90/4)*'Thông số'!$B$31/'Thông số'!$B$30)/LOG(1+'Thông số'!$B$31))))</f>
        <v/>
      </c>
      <c r="H90" s="22">
        <f>B90/('Thông số'!$B$12*(1+'Thông số'!$B$18)^(G90-1)*'Thông số'!$B$13*(1+'Thông số'!$B$20)^(G90-1)*(('Thông số'!$B$25-1+'Thông số'!$B$24*(1+'Thông số'!$B$21)^(G90-1))/'Thông số'!$B$25))</f>
        <v/>
      </c>
    </row>
    <row r="91">
      <c r="A91" s="16" t="n">
        <v>87</v>
      </c>
      <c r="B91" s="17">
        <f>'Thông số'!$B$5*(1+'Thông số'!$B$6)^(A91-1)</f>
        <v/>
      </c>
      <c r="C91" s="17">
        <f>'Thông số'!$B$7*(1+'Thông số'!$B$8)^(A91-1)</f>
        <v/>
      </c>
      <c r="D91" s="17">
        <f>'Thông số'!$B$28*(1+'Thông số'!$B$29)^(A91-1)</f>
        <v/>
      </c>
      <c r="E91" s="17">
        <f>E90+D91*'Thông số'!$B$32</f>
        <v/>
      </c>
      <c r="F91" s="16">
        <f>IF(A91&gt;=10,INT(A91/10)*'Thông số'!$B$33,0)</f>
        <v/>
      </c>
      <c r="G91" s="16">
        <f>MIN(40,MAX(1,INT(1+LOG(1+(E91/4)*'Thông số'!$B$31/'Thông số'!$B$30)/LOG(1+'Thông số'!$B$31))))</f>
        <v/>
      </c>
      <c r="H91" s="22">
        <f>B91/('Thông số'!$B$12*(1+'Thông số'!$B$18)^(G91-1)*'Thông số'!$B$13*(1+'Thông số'!$B$20)^(G91-1)*(('Thông số'!$B$25-1+'Thông số'!$B$24*(1+'Thông số'!$B$21)^(G91-1))/'Thông số'!$B$25))</f>
        <v/>
      </c>
    </row>
    <row r="92">
      <c r="A92" s="16" t="n">
        <v>88</v>
      </c>
      <c r="B92" s="17">
        <f>'Thông số'!$B$5*(1+'Thông số'!$B$6)^(A92-1)</f>
        <v/>
      </c>
      <c r="C92" s="17">
        <f>'Thông số'!$B$7*(1+'Thông số'!$B$8)^(A92-1)</f>
        <v/>
      </c>
      <c r="D92" s="17">
        <f>'Thông số'!$B$28*(1+'Thông số'!$B$29)^(A92-1)</f>
        <v/>
      </c>
      <c r="E92" s="17">
        <f>E91+D92*'Thông số'!$B$32</f>
        <v/>
      </c>
      <c r="F92" s="16">
        <f>IF(A92&gt;=10,INT(A92/10)*'Thông số'!$B$33,0)</f>
        <v/>
      </c>
      <c r="G92" s="16">
        <f>MIN(40,MAX(1,INT(1+LOG(1+(E92/4)*'Thông số'!$B$31/'Thông số'!$B$30)/LOG(1+'Thông số'!$B$31))))</f>
        <v/>
      </c>
      <c r="H92" s="22">
        <f>B92/('Thông số'!$B$12*(1+'Thông số'!$B$18)^(G92-1)*'Thông số'!$B$13*(1+'Thông số'!$B$20)^(G92-1)*(('Thông số'!$B$25-1+'Thông số'!$B$24*(1+'Thông số'!$B$21)^(G92-1))/'Thông số'!$B$25))</f>
        <v/>
      </c>
    </row>
    <row r="93">
      <c r="A93" s="16" t="n">
        <v>89</v>
      </c>
      <c r="B93" s="17">
        <f>'Thông số'!$B$5*(1+'Thông số'!$B$6)^(A93-1)</f>
        <v/>
      </c>
      <c r="C93" s="17">
        <f>'Thông số'!$B$7*(1+'Thông số'!$B$8)^(A93-1)</f>
        <v/>
      </c>
      <c r="D93" s="17">
        <f>'Thông số'!$B$28*(1+'Thông số'!$B$29)^(A93-1)</f>
        <v/>
      </c>
      <c r="E93" s="17">
        <f>E92+D93*'Thông số'!$B$32</f>
        <v/>
      </c>
      <c r="F93" s="16">
        <f>IF(A93&gt;=10,INT(A93/10)*'Thông số'!$B$33,0)</f>
        <v/>
      </c>
      <c r="G93" s="16">
        <f>MIN(40,MAX(1,INT(1+LOG(1+(E93/4)*'Thông số'!$B$31/'Thông số'!$B$30)/LOG(1+'Thông số'!$B$31))))</f>
        <v/>
      </c>
      <c r="H93" s="22">
        <f>B93/('Thông số'!$B$12*(1+'Thông số'!$B$18)^(G93-1)*'Thông số'!$B$13*(1+'Thông số'!$B$20)^(G93-1)*(('Thông số'!$B$25-1+'Thông số'!$B$24*(1+'Thông số'!$B$21)^(G93-1))/'Thông số'!$B$25))</f>
        <v/>
      </c>
    </row>
    <row r="94">
      <c r="A94" s="16" t="n">
        <v>90</v>
      </c>
      <c r="B94" s="17">
        <f>'Thông số'!$B$5*(1+'Thông số'!$B$6)^(A94-1)</f>
        <v/>
      </c>
      <c r="C94" s="17">
        <f>'Thông số'!$B$7*(1+'Thông số'!$B$8)^(A94-1)</f>
        <v/>
      </c>
      <c r="D94" s="17">
        <f>'Thông số'!$B$28*(1+'Thông số'!$B$29)^(A94-1)</f>
        <v/>
      </c>
      <c r="E94" s="17">
        <f>E93+D94*'Thông số'!$B$32</f>
        <v/>
      </c>
      <c r="F94" s="16">
        <f>IF(A94&gt;=10,INT(A94/10)*'Thông số'!$B$33,0)</f>
        <v/>
      </c>
      <c r="G94" s="16">
        <f>MIN(40,MAX(1,INT(1+LOG(1+(E94/4)*'Thông số'!$B$31/'Thông số'!$B$30)/LOG(1+'Thông số'!$B$31))))</f>
        <v/>
      </c>
      <c r="H94" s="22">
        <f>B94/('Thông số'!$B$12*(1+'Thông số'!$B$18)^(G94-1)*'Thông số'!$B$13*(1+'Thông số'!$B$20)^(G94-1)*(('Thông số'!$B$25-1+'Thông số'!$B$24*(1+'Thông số'!$B$21)^(G94-1))/'Thông số'!$B$25))</f>
        <v/>
      </c>
    </row>
    <row r="95">
      <c r="A95" s="16" t="n">
        <v>91</v>
      </c>
      <c r="B95" s="17">
        <f>'Thông số'!$B$5*(1+'Thông số'!$B$6)^(A95-1)</f>
        <v/>
      </c>
      <c r="C95" s="17">
        <f>'Thông số'!$B$7*(1+'Thông số'!$B$8)^(A95-1)</f>
        <v/>
      </c>
      <c r="D95" s="17">
        <f>'Thông số'!$B$28*(1+'Thông số'!$B$29)^(A95-1)</f>
        <v/>
      </c>
      <c r="E95" s="17">
        <f>E94+D95*'Thông số'!$B$32</f>
        <v/>
      </c>
      <c r="F95" s="16">
        <f>IF(A95&gt;=10,INT(A95/10)*'Thông số'!$B$33,0)</f>
        <v/>
      </c>
      <c r="G95" s="16">
        <f>MIN(40,MAX(1,INT(1+LOG(1+(E95/4)*'Thông số'!$B$31/'Thông số'!$B$30)/LOG(1+'Thông số'!$B$31))))</f>
        <v/>
      </c>
      <c r="H95" s="22">
        <f>B95/('Thông số'!$B$12*(1+'Thông số'!$B$18)^(G95-1)*'Thông số'!$B$13*(1+'Thông số'!$B$20)^(G95-1)*(('Thông số'!$B$25-1+'Thông số'!$B$24*(1+'Thông số'!$B$21)^(G95-1))/'Thông số'!$B$25))</f>
        <v/>
      </c>
    </row>
    <row r="96">
      <c r="A96" s="16" t="n">
        <v>92</v>
      </c>
      <c r="B96" s="17">
        <f>'Thông số'!$B$5*(1+'Thông số'!$B$6)^(A96-1)</f>
        <v/>
      </c>
      <c r="C96" s="17">
        <f>'Thông số'!$B$7*(1+'Thông số'!$B$8)^(A96-1)</f>
        <v/>
      </c>
      <c r="D96" s="17">
        <f>'Thông số'!$B$28*(1+'Thông số'!$B$29)^(A96-1)</f>
        <v/>
      </c>
      <c r="E96" s="17">
        <f>E95+D96*'Thông số'!$B$32</f>
        <v/>
      </c>
      <c r="F96" s="16">
        <f>IF(A96&gt;=10,INT(A96/10)*'Thông số'!$B$33,0)</f>
        <v/>
      </c>
      <c r="G96" s="16">
        <f>MIN(40,MAX(1,INT(1+LOG(1+(E96/4)*'Thông số'!$B$31/'Thông số'!$B$30)/LOG(1+'Thông số'!$B$31))))</f>
        <v/>
      </c>
      <c r="H96" s="22">
        <f>B96/('Thông số'!$B$12*(1+'Thông số'!$B$18)^(G96-1)*'Thông số'!$B$13*(1+'Thông số'!$B$20)^(G96-1)*(('Thông số'!$B$25-1+'Thông số'!$B$24*(1+'Thông số'!$B$21)^(G96-1))/'Thông số'!$B$25))</f>
        <v/>
      </c>
    </row>
    <row r="97">
      <c r="A97" s="16" t="n">
        <v>93</v>
      </c>
      <c r="B97" s="17">
        <f>'Thông số'!$B$5*(1+'Thông số'!$B$6)^(A97-1)</f>
        <v/>
      </c>
      <c r="C97" s="17">
        <f>'Thông số'!$B$7*(1+'Thông số'!$B$8)^(A97-1)</f>
        <v/>
      </c>
      <c r="D97" s="17">
        <f>'Thông số'!$B$28*(1+'Thông số'!$B$29)^(A97-1)</f>
        <v/>
      </c>
      <c r="E97" s="17">
        <f>E96+D97*'Thông số'!$B$32</f>
        <v/>
      </c>
      <c r="F97" s="16">
        <f>IF(A97&gt;=10,INT(A97/10)*'Thông số'!$B$33,0)</f>
        <v/>
      </c>
      <c r="G97" s="16">
        <f>MIN(40,MAX(1,INT(1+LOG(1+(E97/4)*'Thông số'!$B$31/'Thông số'!$B$30)/LOG(1+'Thông số'!$B$31))))</f>
        <v/>
      </c>
      <c r="H97" s="22">
        <f>B97/('Thông số'!$B$12*(1+'Thông số'!$B$18)^(G97-1)*'Thông số'!$B$13*(1+'Thông số'!$B$20)^(G97-1)*(('Thông số'!$B$25-1+'Thông số'!$B$24*(1+'Thông số'!$B$21)^(G97-1))/'Thông số'!$B$25))</f>
        <v/>
      </c>
    </row>
    <row r="98">
      <c r="A98" s="16" t="n">
        <v>94</v>
      </c>
      <c r="B98" s="17">
        <f>'Thông số'!$B$5*(1+'Thông số'!$B$6)^(A98-1)</f>
        <v/>
      </c>
      <c r="C98" s="17">
        <f>'Thông số'!$B$7*(1+'Thông số'!$B$8)^(A98-1)</f>
        <v/>
      </c>
      <c r="D98" s="17">
        <f>'Thông số'!$B$28*(1+'Thông số'!$B$29)^(A98-1)</f>
        <v/>
      </c>
      <c r="E98" s="17">
        <f>E97+D98*'Thông số'!$B$32</f>
        <v/>
      </c>
      <c r="F98" s="16">
        <f>IF(A98&gt;=10,INT(A98/10)*'Thông số'!$B$33,0)</f>
        <v/>
      </c>
      <c r="G98" s="16">
        <f>MIN(40,MAX(1,INT(1+LOG(1+(E98/4)*'Thông số'!$B$31/'Thông số'!$B$30)/LOG(1+'Thông số'!$B$31))))</f>
        <v/>
      </c>
      <c r="H98" s="22">
        <f>B98/('Thông số'!$B$12*(1+'Thông số'!$B$18)^(G98-1)*'Thông số'!$B$13*(1+'Thông số'!$B$20)^(G98-1)*(('Thông số'!$B$25-1+'Thông số'!$B$24*(1+'Thông số'!$B$21)^(G98-1))/'Thông số'!$B$25))</f>
        <v/>
      </c>
    </row>
    <row r="99">
      <c r="A99" s="16" t="n">
        <v>95</v>
      </c>
      <c r="B99" s="17">
        <f>'Thông số'!$B$5*(1+'Thông số'!$B$6)^(A99-1)</f>
        <v/>
      </c>
      <c r="C99" s="17">
        <f>'Thông số'!$B$7*(1+'Thông số'!$B$8)^(A99-1)</f>
        <v/>
      </c>
      <c r="D99" s="17">
        <f>'Thông số'!$B$28*(1+'Thông số'!$B$29)^(A99-1)</f>
        <v/>
      </c>
      <c r="E99" s="17">
        <f>E98+D99*'Thông số'!$B$32</f>
        <v/>
      </c>
      <c r="F99" s="16">
        <f>IF(A99&gt;=10,INT(A99/10)*'Thông số'!$B$33,0)</f>
        <v/>
      </c>
      <c r="G99" s="16">
        <f>MIN(40,MAX(1,INT(1+LOG(1+(E99/4)*'Thông số'!$B$31/'Thông số'!$B$30)/LOG(1+'Thông số'!$B$31))))</f>
        <v/>
      </c>
      <c r="H99" s="22">
        <f>B99/('Thông số'!$B$12*(1+'Thông số'!$B$18)^(G99-1)*'Thông số'!$B$13*(1+'Thông số'!$B$20)^(G99-1)*(('Thông số'!$B$25-1+'Thông số'!$B$24*(1+'Thông số'!$B$21)^(G99-1))/'Thông số'!$B$25))</f>
        <v/>
      </c>
    </row>
    <row r="100">
      <c r="A100" s="16" t="n">
        <v>96</v>
      </c>
      <c r="B100" s="17">
        <f>'Thông số'!$B$5*(1+'Thông số'!$B$6)^(A100-1)</f>
        <v/>
      </c>
      <c r="C100" s="17">
        <f>'Thông số'!$B$7*(1+'Thông số'!$B$8)^(A100-1)</f>
        <v/>
      </c>
      <c r="D100" s="17">
        <f>'Thông số'!$B$28*(1+'Thông số'!$B$29)^(A100-1)</f>
        <v/>
      </c>
      <c r="E100" s="17">
        <f>E99+D100*'Thông số'!$B$32</f>
        <v/>
      </c>
      <c r="F100" s="16">
        <f>IF(A100&gt;=10,INT(A100/10)*'Thông số'!$B$33,0)</f>
        <v/>
      </c>
      <c r="G100" s="16">
        <f>MIN(40,MAX(1,INT(1+LOG(1+(E100/4)*'Thông số'!$B$31/'Thông số'!$B$30)/LOG(1+'Thông số'!$B$31))))</f>
        <v/>
      </c>
      <c r="H100" s="22">
        <f>B100/('Thông số'!$B$12*(1+'Thông số'!$B$18)^(G100-1)*'Thông số'!$B$13*(1+'Thông số'!$B$20)^(G100-1)*(('Thông số'!$B$25-1+'Thông số'!$B$24*(1+'Thông số'!$B$21)^(G100-1))/'Thông số'!$B$25))</f>
        <v/>
      </c>
    </row>
    <row r="101">
      <c r="A101" s="16" t="n">
        <v>97</v>
      </c>
      <c r="B101" s="17">
        <f>'Thông số'!$B$5*(1+'Thông số'!$B$6)^(A101-1)</f>
        <v/>
      </c>
      <c r="C101" s="17">
        <f>'Thông số'!$B$7*(1+'Thông số'!$B$8)^(A101-1)</f>
        <v/>
      </c>
      <c r="D101" s="17">
        <f>'Thông số'!$B$28*(1+'Thông số'!$B$29)^(A101-1)</f>
        <v/>
      </c>
      <c r="E101" s="17">
        <f>E100+D101*'Thông số'!$B$32</f>
        <v/>
      </c>
      <c r="F101" s="16">
        <f>IF(A101&gt;=10,INT(A101/10)*'Thông số'!$B$33,0)</f>
        <v/>
      </c>
      <c r="G101" s="16">
        <f>MIN(40,MAX(1,INT(1+LOG(1+(E101/4)*'Thông số'!$B$31/'Thông số'!$B$30)/LOG(1+'Thông số'!$B$31))))</f>
        <v/>
      </c>
      <c r="H101" s="22">
        <f>B101/('Thông số'!$B$12*(1+'Thông số'!$B$18)^(G101-1)*'Thông số'!$B$13*(1+'Thông số'!$B$20)^(G101-1)*(('Thông số'!$B$25-1+'Thông số'!$B$24*(1+'Thông số'!$B$21)^(G101-1))/'Thông số'!$B$25))</f>
        <v/>
      </c>
    </row>
    <row r="102">
      <c r="A102" s="16" t="n">
        <v>98</v>
      </c>
      <c r="B102" s="17">
        <f>'Thông số'!$B$5*(1+'Thông số'!$B$6)^(A102-1)</f>
        <v/>
      </c>
      <c r="C102" s="17">
        <f>'Thông số'!$B$7*(1+'Thông số'!$B$8)^(A102-1)</f>
        <v/>
      </c>
      <c r="D102" s="17">
        <f>'Thông số'!$B$28*(1+'Thông số'!$B$29)^(A102-1)</f>
        <v/>
      </c>
      <c r="E102" s="17">
        <f>E101+D102*'Thông số'!$B$32</f>
        <v/>
      </c>
      <c r="F102" s="16">
        <f>IF(A102&gt;=10,INT(A102/10)*'Thông số'!$B$33,0)</f>
        <v/>
      </c>
      <c r="G102" s="16">
        <f>MIN(40,MAX(1,INT(1+LOG(1+(E102/4)*'Thông số'!$B$31/'Thông số'!$B$30)/LOG(1+'Thông số'!$B$31))))</f>
        <v/>
      </c>
      <c r="H102" s="22">
        <f>B102/('Thông số'!$B$12*(1+'Thông số'!$B$18)^(G102-1)*'Thông số'!$B$13*(1+'Thông số'!$B$20)^(G102-1)*(('Thông số'!$B$25-1+'Thông số'!$B$24*(1+'Thông số'!$B$21)^(G102-1))/'Thông số'!$B$25))</f>
        <v/>
      </c>
    </row>
    <row r="103">
      <c r="A103" s="16" t="n">
        <v>99</v>
      </c>
      <c r="B103" s="17">
        <f>'Thông số'!$B$5*(1+'Thông số'!$B$6)^(A103-1)</f>
        <v/>
      </c>
      <c r="C103" s="17">
        <f>'Thông số'!$B$7*(1+'Thông số'!$B$8)^(A103-1)</f>
        <v/>
      </c>
      <c r="D103" s="17">
        <f>'Thông số'!$B$28*(1+'Thông số'!$B$29)^(A103-1)</f>
        <v/>
      </c>
      <c r="E103" s="17">
        <f>E102+D103*'Thông số'!$B$32</f>
        <v/>
      </c>
      <c r="F103" s="16">
        <f>IF(A103&gt;=10,INT(A103/10)*'Thông số'!$B$33,0)</f>
        <v/>
      </c>
      <c r="G103" s="16">
        <f>MIN(40,MAX(1,INT(1+LOG(1+(E103/4)*'Thông số'!$B$31/'Thông số'!$B$30)/LOG(1+'Thông số'!$B$31))))</f>
        <v/>
      </c>
      <c r="H103" s="22">
        <f>B103/('Thông số'!$B$12*(1+'Thông số'!$B$18)^(G103-1)*'Thông số'!$B$13*(1+'Thông số'!$B$20)^(G103-1)*(('Thông số'!$B$25-1+'Thông số'!$B$24*(1+'Thông số'!$B$21)^(G103-1))/'Thông số'!$B$25))</f>
        <v/>
      </c>
    </row>
    <row r="104">
      <c r="A104" s="16" t="n">
        <v>100</v>
      </c>
      <c r="B104" s="17">
        <f>'Thông số'!$B$5*(1+'Thông số'!$B$6)^(A104-1)</f>
        <v/>
      </c>
      <c r="C104" s="17">
        <f>'Thông số'!$B$7*(1+'Thông số'!$B$8)^(A104-1)</f>
        <v/>
      </c>
      <c r="D104" s="17">
        <f>'Thông số'!$B$28*(1+'Thông số'!$B$29)^(A104-1)</f>
        <v/>
      </c>
      <c r="E104" s="17">
        <f>E103+D104*'Thông số'!$B$32</f>
        <v/>
      </c>
      <c r="F104" s="16">
        <f>IF(A104&gt;=10,INT(A104/10)*'Thông số'!$B$33,0)</f>
        <v/>
      </c>
      <c r="G104" s="16">
        <f>MIN(40,MAX(1,INT(1+LOG(1+(E104/4)*'Thông số'!$B$31/'Thông số'!$B$30)/LOG(1+'Thông số'!$B$31))))</f>
        <v/>
      </c>
      <c r="H104" s="22">
        <f>B104/('Thông số'!$B$12*(1+'Thông số'!$B$18)^(G104-1)*'Thông số'!$B$13*(1+'Thông số'!$B$20)^(G104-1)*(('Thông số'!$B$25-1+'Thông số'!$B$24*(1+'Thông số'!$B$21)^(G104-1))/'Thông số'!$B$25))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BOSS — CỔNG CHẶN THẬT SỰ</t>
        </is>
      </c>
    </row>
    <row r="2">
      <c r="A2" s="6" t="inlineStr">
        <is>
          <t>Boss là nơi độ khó thật nằm. Quái thường sẽ dễ dần (và có quét nhanh) — điều đó chấp nhận được.</t>
        </is>
      </c>
    </row>
    <row r="3">
      <c r="A3" s="6" t="inlineStr">
        <is>
          <t>Đã chốt. Neo build YẾU NHẤT = 1,50 ở mọi boss; build mạnh nhất chạm 5,15. Tính theo mô hình Mảnh-dùng-chung (ô chạm trần không nhận Mảnh nữa) — xem §5.10.</t>
        </is>
      </c>
    </row>
    <row r="5">
      <c r="A5" s="21" t="inlineStr">
        <is>
          <t>Boss</t>
        </is>
      </c>
      <c r="B5" s="21" t="inlineStr">
        <is>
          <t>Tầng</t>
        </is>
      </c>
      <c r="C5" s="21" t="inlineStr">
        <is>
          <t>Hệ số máu boss</t>
        </is>
      </c>
      <c r="D5" s="21" t="inlineStr">
        <is>
          <t>Máu boss</t>
        </is>
      </c>
      <c r="E5" s="21" t="inlineStr">
        <is>
          <t>SĐ boss/giây</t>
        </is>
      </c>
      <c r="F5" s="21" t="inlineStr">
        <is>
          <t>Lõi rơi</t>
        </is>
      </c>
    </row>
    <row r="6">
      <c r="A6" s="16" t="n">
        <v>1</v>
      </c>
      <c r="B6" s="16" t="n">
        <v>10</v>
      </c>
      <c r="C6" s="23" t="n">
        <v>1.56</v>
      </c>
      <c r="D6" s="17">
        <f>INDEX('Đường cong tầng'!$B$5:$B$104,B6)*C6</f>
        <v/>
      </c>
      <c r="E6" s="17">
        <f>INDEX('Đường cong tầng'!$C$5:$C$104,B6)</f>
        <v/>
      </c>
      <c r="F6" s="16">
        <f>'Thông số'!$B$33</f>
        <v/>
      </c>
    </row>
    <row r="7">
      <c r="A7" s="16" t="n">
        <v>2</v>
      </c>
      <c r="B7" s="16" t="n">
        <v>20</v>
      </c>
      <c r="C7" s="23" t="n">
        <v>2.2</v>
      </c>
      <c r="D7" s="17">
        <f>INDEX('Đường cong tầng'!$B$5:$B$104,B7)*C7</f>
        <v/>
      </c>
      <c r="E7" s="17">
        <f>INDEX('Đường cong tầng'!$C$5:$C$104,B7)</f>
        <v/>
      </c>
      <c r="F7" s="16">
        <f>'Thông số'!$B$33</f>
        <v/>
      </c>
    </row>
    <row r="8">
      <c r="A8" s="16" t="n">
        <v>3</v>
      </c>
      <c r="B8" s="16" t="n">
        <v>30</v>
      </c>
      <c r="C8" s="23" t="n">
        <v>3.14</v>
      </c>
      <c r="D8" s="17">
        <f>INDEX('Đường cong tầng'!$B$5:$B$104,B8)*C8</f>
        <v/>
      </c>
      <c r="E8" s="17">
        <f>INDEX('Đường cong tầng'!$C$5:$C$104,B8)</f>
        <v/>
      </c>
      <c r="F8" s="16">
        <f>'Thông số'!$B$33</f>
        <v/>
      </c>
    </row>
    <row r="9">
      <c r="A9" s="16" t="n">
        <v>4</v>
      </c>
      <c r="B9" s="16" t="n">
        <v>40</v>
      </c>
      <c r="C9" s="23" t="n">
        <v>4.42</v>
      </c>
      <c r="D9" s="17">
        <f>INDEX('Đường cong tầng'!$B$5:$B$104,B9)*C9</f>
        <v/>
      </c>
      <c r="E9" s="17">
        <f>INDEX('Đường cong tầng'!$C$5:$C$104,B9)</f>
        <v/>
      </c>
      <c r="F9" s="16">
        <f>'Thông số'!$B$33</f>
        <v/>
      </c>
    </row>
    <row r="10">
      <c r="A10" s="16" t="n">
        <v>5</v>
      </c>
      <c r="B10" s="16" t="n">
        <v>50</v>
      </c>
      <c r="C10" s="23" t="n">
        <v>4.62</v>
      </c>
      <c r="D10" s="17">
        <f>INDEX('Đường cong tầng'!$B$5:$B$104,B10)*C10</f>
        <v/>
      </c>
      <c r="E10" s="17">
        <f>INDEX('Đường cong tầng'!$C$5:$C$104,B10)</f>
        <v/>
      </c>
      <c r="F10" s="16">
        <f>'Thông số'!$B$33</f>
        <v/>
      </c>
    </row>
    <row r="11">
      <c r="A11" s="16" t="n">
        <v>6</v>
      </c>
      <c r="B11" s="16" t="n">
        <v>60</v>
      </c>
      <c r="C11" s="23" t="n">
        <v>4.31</v>
      </c>
      <c r="D11" s="17">
        <f>INDEX('Đường cong tầng'!$B$5:$B$104,B11)*C11</f>
        <v/>
      </c>
      <c r="E11" s="17">
        <f>INDEX('Đường cong tầng'!$C$5:$C$104,B11)</f>
        <v/>
      </c>
      <c r="F11" s="16">
        <f>'Thông số'!$B$33</f>
        <v/>
      </c>
    </row>
    <row r="12">
      <c r="A12" s="16" t="n">
        <v>7</v>
      </c>
      <c r="B12" s="16" t="n">
        <v>70</v>
      </c>
      <c r="C12" s="23" t="n">
        <v>4.07</v>
      </c>
      <c r="D12" s="17">
        <f>INDEX('Đường cong tầng'!$B$5:$B$104,B12)*C12</f>
        <v/>
      </c>
      <c r="E12" s="17">
        <f>INDEX('Đường cong tầng'!$C$5:$C$104,B12)</f>
        <v/>
      </c>
      <c r="F12" s="16">
        <f>'Thông số'!$B$33</f>
        <v/>
      </c>
    </row>
    <row r="13">
      <c r="A13" s="16" t="n">
        <v>8</v>
      </c>
      <c r="B13" s="16" t="n">
        <v>80</v>
      </c>
      <c r="C13" s="23" t="n">
        <v>3.45</v>
      </c>
      <c r="D13" s="17">
        <f>INDEX('Đường cong tầng'!$B$5:$B$104,B13)*C13</f>
        <v/>
      </c>
      <c r="E13" s="17">
        <f>INDEX('Đường cong tầng'!$C$5:$C$104,B13)</f>
        <v/>
      </c>
      <c r="F13" s="16">
        <f>'Thông số'!$B$33</f>
        <v/>
      </c>
    </row>
    <row r="14">
      <c r="A14" s="16" t="n">
        <v>9</v>
      </c>
      <c r="B14" s="16" t="n">
        <v>90</v>
      </c>
      <c r="C14" s="23" t="n">
        <v>2.36</v>
      </c>
      <c r="D14" s="17">
        <f>INDEX('Đường cong tầng'!$B$5:$B$104,B14)*C14</f>
        <v/>
      </c>
      <c r="E14" s="17">
        <f>INDEX('Đường cong tầng'!$C$5:$C$104,B14)</f>
        <v/>
      </c>
      <c r="F14" s="16">
        <f>'Thông số'!$B$33</f>
        <v/>
      </c>
    </row>
    <row r="15">
      <c r="A15" s="16" t="n">
        <v>10</v>
      </c>
      <c r="B15" s="16" t="n">
        <v>100</v>
      </c>
      <c r="C15" s="23" t="n">
        <v>1.5</v>
      </c>
      <c r="D15" s="17">
        <f>INDEX('Đường cong tầng'!$B$5:$B$104,B15)*C15</f>
        <v/>
      </c>
      <c r="E15" s="17">
        <f>INDEX('Đường cong tầng'!$C$5:$C$104,B15)</f>
        <v/>
      </c>
      <c r="F15" s="16">
        <f>'Thông số'!$B$33</f>
        <v/>
      </c>
    </row>
    <row r="17">
      <c r="A17" s="3" t="inlineStr">
        <is>
          <t>Tổng Lõi từ boss</t>
        </is>
      </c>
      <c r="D17" s="19">
        <f>SUM(F6:F15)</f>
        <v/>
      </c>
      <c r="E17" s="6">
        <f>IF(D17='Thông số'!$B$35,"khớp Thông số","LỆCH")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12" customWidth="1" min="11" max="11"/>
    <col width="11" customWidth="1" min="12" max="12"/>
    <col width="11" customWidth="1" min="13" max="13"/>
    <col width="13" customWidth="1" min="14" max="14"/>
    <col width="12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1" customWidth="1" min="21" max="21"/>
    <col width="16" customWidth="1" min="22" max="22"/>
  </cols>
  <sheetData>
    <row r="1">
      <c r="A1" s="1" t="inlineStr">
        <is>
          <t>KIỂM CHỨNG BUILD — TẠI BOSS CUỐI (TẦNG 100)</t>
        </is>
      </c>
    </row>
    <row r="2">
      <c r="A2" s="6" t="inlineStr">
        <is>
          <t>Gear giả định đã nâng tới trần Lõi cho phép. Sửa 4 cột Lõi (vàng) để thử phân bổ của bạn.</t>
        </is>
      </c>
    </row>
    <row r="4">
      <c r="A4" s="21" t="inlineStr">
        <is>
          <t>Tên build</t>
        </is>
      </c>
      <c r="B4" s="21" t="inlineStr">
        <is>
          <t>Lõi Vũ khí</t>
        </is>
      </c>
      <c r="C4" s="21" t="inlineStr">
        <is>
          <t>Lõi Giáp</t>
        </is>
      </c>
      <c r="D4" s="21" t="inlineStr">
        <is>
          <t>Lõi Găng</t>
        </is>
      </c>
      <c r="E4" s="21" t="inlineStr">
        <is>
          <t>Lõi Nhẫn</t>
        </is>
      </c>
      <c r="F4" s="21" t="inlineStr">
        <is>
          <t>Tổng Lõi</t>
        </is>
      </c>
      <c r="G4" s="21" t="inlineStr">
        <is>
          <t>Cấp Vũ khí</t>
        </is>
      </c>
      <c r="H4" s="21" t="inlineStr">
        <is>
          <t>Cấp Giáp</t>
        </is>
      </c>
      <c r="I4" s="21" t="inlineStr">
        <is>
          <t>Cấp Găng</t>
        </is>
      </c>
      <c r="J4" s="21" t="inlineStr">
        <is>
          <t>Cấp Nhẫn</t>
        </is>
      </c>
      <c r="K4" s="21" t="inlineStr">
        <is>
          <t>SĐ mỗi đòn</t>
        </is>
      </c>
      <c r="L4" s="21" t="inlineStr">
        <is>
          <t>Tốc độ đánh</t>
        </is>
      </c>
      <c r="M4" s="21" t="inlineStr">
        <is>
          <t>Hệ số CM TB</t>
        </is>
      </c>
      <c r="N4" s="21" t="inlineStr">
        <is>
          <t>DPS</t>
        </is>
      </c>
      <c r="O4" s="21" t="inlineStr">
        <is>
          <t>Hệ số máu giáp</t>
        </is>
      </c>
      <c r="P4" s="21" t="inlineStr">
        <is>
          <t>Máu hiệu dụng</t>
        </is>
      </c>
      <c r="Q4" s="21" t="inlineStr">
        <is>
          <t>Máu boss cuối</t>
        </is>
      </c>
      <c r="R4" s="21" t="inlineStr">
        <is>
          <t>SĐ boss/giây</t>
        </is>
      </c>
      <c r="S4" s="21" t="inlineStr">
        <is>
          <t>Giây để giết</t>
        </is>
      </c>
      <c r="T4" s="21" t="inlineStr">
        <is>
          <t>Giây để chết</t>
        </is>
      </c>
      <c r="U4" s="21" t="inlineStr">
        <is>
          <t>Biên an toàn</t>
        </is>
      </c>
      <c r="V4" s="21" t="inlineStr">
        <is>
          <t>Kết luận</t>
        </is>
      </c>
    </row>
    <row r="5">
      <c r="A5" s="2" t="inlineStr">
        <is>
          <t>Bền bỉ (Vũ khí + Giáp)</t>
        </is>
      </c>
      <c r="B5" s="13" t="n">
        <v>15</v>
      </c>
      <c r="C5" s="13" t="n">
        <v>15</v>
      </c>
      <c r="D5" s="13" t="n">
        <v>0</v>
      </c>
      <c r="E5" s="13" t="n">
        <v>0</v>
      </c>
      <c r="F5" s="16">
        <f>SUM(B5:E5)</f>
        <v/>
      </c>
      <c r="G5" s="16">
        <f>INDEX('Chi phí nâng cấp'!$H$5:$H$10,MATCH(B5,'Chi phí nâng cấp'!$G$5:$G$10,1))</f>
        <v/>
      </c>
      <c r="H5" s="16">
        <f>INDEX('Chi phí nâng cấp'!$H$5:$H$10,MATCH(C5,'Chi phí nâng cấp'!$G$5:$G$10,1))</f>
        <v/>
      </c>
      <c r="I5" s="16">
        <f>INDEX('Chi phí nâng cấp'!$H$5:$H$10,MATCH(D5,'Chi phí nâng cấp'!$G$5:$G$10,1))</f>
        <v/>
      </c>
      <c r="J5" s="16">
        <f>INDEX('Chi phí nâng cấp'!$H$5:$H$10,MATCH(E5,'Chi phí nâng cấp'!$G$5:$G$10,1))</f>
        <v/>
      </c>
      <c r="K5" s="17">
        <f>'Thông số'!$B$12*(1+'Thông số'!$B$18)^(G5-1)</f>
        <v/>
      </c>
      <c r="L5" s="22">
        <f>'Thông số'!$B$13*(1+'Thông số'!$B$20)^(I5-1)</f>
        <v/>
      </c>
      <c r="M5" s="22">
        <f>('Thông số'!$B$25-1+'Thông số'!$B$24*(1+'Thông số'!$B$21)^(J5-1))/'Thông số'!$B$25</f>
        <v/>
      </c>
      <c r="N5" s="17">
        <f>K5*L5*M5</f>
        <v/>
      </c>
      <c r="O5" s="22">
        <f>(1+'Thông số'!$B$19)^(H5-1)</f>
        <v/>
      </c>
      <c r="P5" s="17">
        <f>'Thông số'!$B$14*(1+'Thông số'!$B$15)^('Thông số'!$B$39-1)*O5</f>
        <v/>
      </c>
      <c r="Q5" s="17">
        <f>'Boss'!$D$15</f>
        <v/>
      </c>
      <c r="R5" s="17">
        <f>'Boss'!$E$15</f>
        <v/>
      </c>
      <c r="S5" s="22">
        <f>Q5/N5</f>
        <v/>
      </c>
      <c r="T5" s="22">
        <f>P5/(R5*'Thông số'!$B$9)</f>
        <v/>
      </c>
      <c r="U5" s="24">
        <f>T5/S5</f>
        <v/>
      </c>
      <c r="V5" s="25">
        <f>IF(F5&gt;'Thông số'!$B$35,"VƯỢT LÕI",IF(U5&gt;='Thông số'!$B$40,"ĐẠT","KHÔNG ĐẠT"))</f>
        <v/>
      </c>
    </row>
    <row r="6">
      <c r="A6" s="2" t="inlineStr">
        <is>
          <t>Bùng nổ (Găng + Nhẫn)</t>
        </is>
      </c>
      <c r="B6" s="13" t="n">
        <v>0</v>
      </c>
      <c r="C6" s="13" t="n">
        <v>0</v>
      </c>
      <c r="D6" s="13" t="n">
        <v>15</v>
      </c>
      <c r="E6" s="13" t="n">
        <v>15</v>
      </c>
      <c r="F6" s="16">
        <f>SUM(B6:E6)</f>
        <v/>
      </c>
      <c r="G6" s="16">
        <f>INDEX('Chi phí nâng cấp'!$H$5:$H$10,MATCH(B6,'Chi phí nâng cấp'!$G$5:$G$10,1))</f>
        <v/>
      </c>
      <c r="H6" s="16">
        <f>INDEX('Chi phí nâng cấp'!$H$5:$H$10,MATCH(C6,'Chi phí nâng cấp'!$G$5:$G$10,1))</f>
        <v/>
      </c>
      <c r="I6" s="16">
        <f>INDEX('Chi phí nâng cấp'!$H$5:$H$10,MATCH(D6,'Chi phí nâng cấp'!$G$5:$G$10,1))</f>
        <v/>
      </c>
      <c r="J6" s="16">
        <f>INDEX('Chi phí nâng cấp'!$H$5:$H$10,MATCH(E6,'Chi phí nâng cấp'!$G$5:$G$10,1))</f>
        <v/>
      </c>
      <c r="K6" s="17">
        <f>'Thông số'!$B$12*(1+'Thông số'!$B$18)^(G6-1)</f>
        <v/>
      </c>
      <c r="L6" s="22">
        <f>'Thông số'!$B$13*(1+'Thông số'!$B$20)^(I6-1)</f>
        <v/>
      </c>
      <c r="M6" s="22">
        <f>('Thông số'!$B$25-1+'Thông số'!$B$24*(1+'Thông số'!$B$21)^(J6-1))/'Thông số'!$B$25</f>
        <v/>
      </c>
      <c r="N6" s="17">
        <f>K6*L6*M6</f>
        <v/>
      </c>
      <c r="O6" s="22">
        <f>(1+'Thông số'!$B$19)^(H6-1)</f>
        <v/>
      </c>
      <c r="P6" s="17">
        <f>'Thông số'!$B$14*(1+'Thông số'!$B$15)^('Thông số'!$B$39-1)*O6</f>
        <v/>
      </c>
      <c r="Q6" s="17">
        <f>'Boss'!$D$15</f>
        <v/>
      </c>
      <c r="R6" s="17">
        <f>'Boss'!$E$15</f>
        <v/>
      </c>
      <c r="S6" s="22">
        <f>Q6/N6</f>
        <v/>
      </c>
      <c r="T6" s="22">
        <f>P6/(R6*'Thông số'!$B$9)</f>
        <v/>
      </c>
      <c r="U6" s="24">
        <f>T6/S6</f>
        <v/>
      </c>
      <c r="V6" s="25">
        <f>IF(F6&gt;'Thông số'!$B$35,"VƯỢT LÕI",IF(U6&gt;='Thông số'!$B$40,"ĐẠT","KHÔNG ĐẠT"))</f>
        <v/>
      </c>
    </row>
    <row r="7">
      <c r="A7" s="2" t="inlineStr">
        <is>
          <t>Dàn đều bốn món</t>
        </is>
      </c>
      <c r="B7" s="13" t="n">
        <v>10</v>
      </c>
      <c r="C7" s="13" t="n">
        <v>6</v>
      </c>
      <c r="D7" s="13" t="n">
        <v>6</v>
      </c>
      <c r="E7" s="13" t="n">
        <v>6</v>
      </c>
      <c r="F7" s="16">
        <f>SUM(B7:E7)</f>
        <v/>
      </c>
      <c r="G7" s="16">
        <f>INDEX('Chi phí nâng cấp'!$H$5:$H$10,MATCH(B7,'Chi phí nâng cấp'!$G$5:$G$10,1))</f>
        <v/>
      </c>
      <c r="H7" s="16">
        <f>INDEX('Chi phí nâng cấp'!$H$5:$H$10,MATCH(C7,'Chi phí nâng cấp'!$G$5:$G$10,1))</f>
        <v/>
      </c>
      <c r="I7" s="16">
        <f>INDEX('Chi phí nâng cấp'!$H$5:$H$10,MATCH(D7,'Chi phí nâng cấp'!$G$5:$G$10,1))</f>
        <v/>
      </c>
      <c r="J7" s="16">
        <f>INDEX('Chi phí nâng cấp'!$H$5:$H$10,MATCH(E7,'Chi phí nâng cấp'!$G$5:$G$10,1))</f>
        <v/>
      </c>
      <c r="K7" s="17">
        <f>'Thông số'!$B$12*(1+'Thông số'!$B$18)^(G7-1)</f>
        <v/>
      </c>
      <c r="L7" s="22">
        <f>'Thông số'!$B$13*(1+'Thông số'!$B$20)^(I7-1)</f>
        <v/>
      </c>
      <c r="M7" s="22">
        <f>('Thông số'!$B$25-1+'Thông số'!$B$24*(1+'Thông số'!$B$21)^(J7-1))/'Thông số'!$B$25</f>
        <v/>
      </c>
      <c r="N7" s="17">
        <f>K7*L7*M7</f>
        <v/>
      </c>
      <c r="O7" s="22">
        <f>(1+'Thông số'!$B$19)^(H7-1)</f>
        <v/>
      </c>
      <c r="P7" s="17">
        <f>'Thông số'!$B$14*(1+'Thông số'!$B$15)^('Thông số'!$B$39-1)*O7</f>
        <v/>
      </c>
      <c r="Q7" s="17">
        <f>'Boss'!$D$15</f>
        <v/>
      </c>
      <c r="R7" s="17">
        <f>'Boss'!$E$15</f>
        <v/>
      </c>
      <c r="S7" s="22">
        <f>Q7/N7</f>
        <v/>
      </c>
      <c r="T7" s="22">
        <f>P7/(R7*'Thông số'!$B$9)</f>
        <v/>
      </c>
      <c r="U7" s="24">
        <f>T7/S7</f>
        <v/>
      </c>
      <c r="V7" s="25">
        <f>IF(F7&gt;'Thông số'!$B$35,"VƯỢT LÕI",IF(U7&gt;='Thông số'!$B$40,"ĐẠT","KHÔNG ĐẠT"))</f>
        <v/>
      </c>
    </row>
    <row r="8">
      <c r="A8" s="2" t="inlineStr">
        <is>
          <t>Sát thương thuần</t>
        </is>
      </c>
      <c r="B8" s="13" t="n">
        <v>15</v>
      </c>
      <c r="C8" s="13" t="n">
        <v>0</v>
      </c>
      <c r="D8" s="13" t="n">
        <v>15</v>
      </c>
      <c r="E8" s="13" t="n">
        <v>0</v>
      </c>
      <c r="F8" s="16">
        <f>SUM(B8:E8)</f>
        <v/>
      </c>
      <c r="G8" s="16">
        <f>INDEX('Chi phí nâng cấp'!$H$5:$H$10,MATCH(B8,'Chi phí nâng cấp'!$G$5:$G$10,1))</f>
        <v/>
      </c>
      <c r="H8" s="16">
        <f>INDEX('Chi phí nâng cấp'!$H$5:$H$10,MATCH(C8,'Chi phí nâng cấp'!$G$5:$G$10,1))</f>
        <v/>
      </c>
      <c r="I8" s="16">
        <f>INDEX('Chi phí nâng cấp'!$H$5:$H$10,MATCH(D8,'Chi phí nâng cấp'!$G$5:$G$10,1))</f>
        <v/>
      </c>
      <c r="J8" s="16">
        <f>INDEX('Chi phí nâng cấp'!$H$5:$H$10,MATCH(E8,'Chi phí nâng cấp'!$G$5:$G$10,1))</f>
        <v/>
      </c>
      <c r="K8" s="17">
        <f>'Thông số'!$B$12*(1+'Thông số'!$B$18)^(G8-1)</f>
        <v/>
      </c>
      <c r="L8" s="22">
        <f>'Thông số'!$B$13*(1+'Thông số'!$B$20)^(I8-1)</f>
        <v/>
      </c>
      <c r="M8" s="22">
        <f>('Thông số'!$B$25-1+'Thông số'!$B$24*(1+'Thông số'!$B$21)^(J8-1))/'Thông số'!$B$25</f>
        <v/>
      </c>
      <c r="N8" s="17">
        <f>K8*L8*M8</f>
        <v/>
      </c>
      <c r="O8" s="22">
        <f>(1+'Thông số'!$B$19)^(H8-1)</f>
        <v/>
      </c>
      <c r="P8" s="17">
        <f>'Thông số'!$B$14*(1+'Thông số'!$B$15)^('Thông số'!$B$39-1)*O8</f>
        <v/>
      </c>
      <c r="Q8" s="17">
        <f>'Boss'!$D$15</f>
        <v/>
      </c>
      <c r="R8" s="17">
        <f>'Boss'!$E$15</f>
        <v/>
      </c>
      <c r="S8" s="22">
        <f>Q8/N8</f>
        <v/>
      </c>
      <c r="T8" s="22">
        <f>P8/(R8*'Thông số'!$B$9)</f>
        <v/>
      </c>
      <c r="U8" s="24">
        <f>T8/S8</f>
        <v/>
      </c>
      <c r="V8" s="25">
        <f>IF(F8&gt;'Thông số'!$B$35,"VƯỢT LÕI",IF(U8&gt;='Thông số'!$B$40,"ĐẠT","KHÔNG ĐẠT"))</f>
        <v/>
      </c>
    </row>
    <row r="9">
      <c r="A9" s="2" t="inlineStr">
        <is>
          <t>Thủ + chí mạng</t>
        </is>
      </c>
      <c r="B9" s="13" t="n">
        <v>0</v>
      </c>
      <c r="C9" s="13" t="n">
        <v>15</v>
      </c>
      <c r="D9" s="13" t="n">
        <v>0</v>
      </c>
      <c r="E9" s="13" t="n">
        <v>15</v>
      </c>
      <c r="F9" s="16">
        <f>SUM(B9:E9)</f>
        <v/>
      </c>
      <c r="G9" s="16">
        <f>INDEX('Chi phí nâng cấp'!$H$5:$H$10,MATCH(B9,'Chi phí nâng cấp'!$G$5:$G$10,1))</f>
        <v/>
      </c>
      <c r="H9" s="16">
        <f>INDEX('Chi phí nâng cấp'!$H$5:$H$10,MATCH(C9,'Chi phí nâng cấp'!$G$5:$G$10,1))</f>
        <v/>
      </c>
      <c r="I9" s="16">
        <f>INDEX('Chi phí nâng cấp'!$H$5:$H$10,MATCH(D9,'Chi phí nâng cấp'!$G$5:$G$10,1))</f>
        <v/>
      </c>
      <c r="J9" s="16">
        <f>INDEX('Chi phí nâng cấp'!$H$5:$H$10,MATCH(E9,'Chi phí nâng cấp'!$G$5:$G$10,1))</f>
        <v/>
      </c>
      <c r="K9" s="17">
        <f>'Thông số'!$B$12*(1+'Thông số'!$B$18)^(G9-1)</f>
        <v/>
      </c>
      <c r="L9" s="22">
        <f>'Thông số'!$B$13*(1+'Thông số'!$B$20)^(I9-1)</f>
        <v/>
      </c>
      <c r="M9" s="22">
        <f>('Thông số'!$B$25-1+'Thông số'!$B$24*(1+'Thông số'!$B$21)^(J9-1))/'Thông số'!$B$25</f>
        <v/>
      </c>
      <c r="N9" s="17">
        <f>K9*L9*M9</f>
        <v/>
      </c>
      <c r="O9" s="22">
        <f>(1+'Thông số'!$B$19)^(H9-1)</f>
        <v/>
      </c>
      <c r="P9" s="17">
        <f>'Thông số'!$B$14*(1+'Thông số'!$B$15)^('Thông số'!$B$39-1)*O9</f>
        <v/>
      </c>
      <c r="Q9" s="17">
        <f>'Boss'!$D$15</f>
        <v/>
      </c>
      <c r="R9" s="17">
        <f>'Boss'!$E$15</f>
        <v/>
      </c>
      <c r="S9" s="22">
        <f>Q9/N9</f>
        <v/>
      </c>
      <c r="T9" s="22">
        <f>P9/(R9*'Thông số'!$B$9)</f>
        <v/>
      </c>
      <c r="U9" s="24">
        <f>T9/S9</f>
        <v/>
      </c>
      <c r="V9" s="25">
        <f>IF(F9&gt;'Thông số'!$B$35,"VƯỢT LÕI",IF(U9&gt;='Thông số'!$B$40,"ĐẠT","KHÔNG ĐẠT"))</f>
        <v/>
      </c>
    </row>
    <row r="10">
      <c r="A10" s="2" t="inlineStr">
        <is>
          <t>Chuyên vũ khí, thủ vừa</t>
        </is>
      </c>
      <c r="B10" s="13" t="n">
        <v>15</v>
      </c>
      <c r="C10" s="13" t="n">
        <v>10</v>
      </c>
      <c r="D10" s="13" t="n">
        <v>3</v>
      </c>
      <c r="E10" s="13" t="n">
        <v>1</v>
      </c>
      <c r="F10" s="16">
        <f>SUM(B10:E10)</f>
        <v/>
      </c>
      <c r="G10" s="16">
        <f>INDEX('Chi phí nâng cấp'!$H$5:$H$10,MATCH(B10,'Chi phí nâng cấp'!$G$5:$G$10,1))</f>
        <v/>
      </c>
      <c r="H10" s="16">
        <f>INDEX('Chi phí nâng cấp'!$H$5:$H$10,MATCH(C10,'Chi phí nâng cấp'!$G$5:$G$10,1))</f>
        <v/>
      </c>
      <c r="I10" s="16">
        <f>INDEX('Chi phí nâng cấp'!$H$5:$H$10,MATCH(D10,'Chi phí nâng cấp'!$G$5:$G$10,1))</f>
        <v/>
      </c>
      <c r="J10" s="16">
        <f>INDEX('Chi phí nâng cấp'!$H$5:$H$10,MATCH(E10,'Chi phí nâng cấp'!$G$5:$G$10,1))</f>
        <v/>
      </c>
      <c r="K10" s="17">
        <f>'Thông số'!$B$12*(1+'Thông số'!$B$18)^(G10-1)</f>
        <v/>
      </c>
      <c r="L10" s="22">
        <f>'Thông số'!$B$13*(1+'Thông số'!$B$20)^(I10-1)</f>
        <v/>
      </c>
      <c r="M10" s="22">
        <f>('Thông số'!$B$25-1+'Thông số'!$B$24*(1+'Thông số'!$B$21)^(J10-1))/'Thông số'!$B$25</f>
        <v/>
      </c>
      <c r="N10" s="17">
        <f>K10*L10*M10</f>
        <v/>
      </c>
      <c r="O10" s="22">
        <f>(1+'Thông số'!$B$19)^(H10-1)</f>
        <v/>
      </c>
      <c r="P10" s="17">
        <f>'Thông số'!$B$14*(1+'Thông số'!$B$15)^('Thông số'!$B$39-1)*O10</f>
        <v/>
      </c>
      <c r="Q10" s="17">
        <f>'Boss'!$D$15</f>
        <v/>
      </c>
      <c r="R10" s="17">
        <f>'Boss'!$E$15</f>
        <v/>
      </c>
      <c r="S10" s="22">
        <f>Q10/N10</f>
        <v/>
      </c>
      <c r="T10" s="22">
        <f>P10/(R10*'Thông số'!$B$9)</f>
        <v/>
      </c>
      <c r="U10" s="24">
        <f>T10/S10</f>
        <v/>
      </c>
      <c r="V10" s="25">
        <f>IF(F10&gt;'Thông số'!$B$35,"VƯỢT LÕI",IF(U10&gt;='Thông số'!$B$40,"ĐẠT","KHÔNG ĐẠT"))</f>
        <v/>
      </c>
    </row>
    <row r="13">
      <c r="A13" s="3" t="inlineStr">
        <is>
          <t>Số build ĐẠT</t>
        </is>
      </c>
      <c r="B13" s="4">
        <f>COUNTIF(V5:V10,"ĐẠT")</f>
        <v/>
      </c>
    </row>
    <row r="14">
      <c r="A14" s="2" t="inlineStr">
        <is>
          <t>Tổng build thử</t>
        </is>
      </c>
      <c r="B14" s="2">
        <f>COUNTA(A5:A10)</f>
        <v/>
      </c>
    </row>
    <row r="15">
      <c r="A15" s="2" t="inlineStr">
        <is>
          <t>Biên thấp nhất</t>
        </is>
      </c>
      <c r="B15" s="5">
        <f>MIN(U5:U10)</f>
        <v/>
      </c>
    </row>
    <row r="16">
      <c r="A16" s="3" t="inlineStr">
        <is>
          <t>ĐIỀU KIỆN 5.8 (bản sửa)</t>
        </is>
      </c>
      <c r="B16" s="4">
        <f>IF(COUNTIFS(B5:B10,"&gt;0",C5:C10,"&gt;0",D5:D10,"&gt;0",E5:E10,"&gt;0",V5:V10,"KHÔNG ĐẠT")=0,"THỎA MÃN - mọi build đầu tư cả bốn ô đều qua","VI PHẠM - xem dòng KHÔNG ĐẠT")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BIÊN AN TOÀN TẠI TỪNG BOSS — TÌM CHỖ GÃY</t>
        </is>
      </c>
    </row>
    <row r="2">
      <c r="A2" s="6" t="inlineStr">
        <is>
          <t>Ô nhỏ hơn biên tối thiểu = build đó tắc ở boss này.</t>
        </is>
      </c>
    </row>
    <row r="4">
      <c r="A4" s="26" t="inlineStr">
        <is>
          <t>Boss / Tầng</t>
        </is>
      </c>
      <c r="B4" s="21" t="inlineStr">
        <is>
          <t>Bền bỉ (Vũ khí + Giáp)</t>
        </is>
      </c>
      <c r="C4" s="21" t="inlineStr">
        <is>
          <t>Bùng nổ (Găng + Nhẫn)</t>
        </is>
      </c>
      <c r="D4" s="21" t="inlineStr">
        <is>
          <t>Dàn đều bốn món</t>
        </is>
      </c>
      <c r="E4" s="21" t="inlineStr">
        <is>
          <t>Sát thương thuần</t>
        </is>
      </c>
      <c r="F4" s="21" t="inlineStr">
        <is>
          <t>Thủ + chí mạng</t>
        </is>
      </c>
      <c r="G4" s="21" t="inlineStr">
        <is>
          <t>Chuyên vũ khí, thủ vừa</t>
        </is>
      </c>
    </row>
    <row r="5">
      <c r="A5" s="16">
        <f>Boss!$B$6</f>
        <v/>
      </c>
      <c r="B5" s="27">
        <f>(('Thông số'!$B$14*(1+'Thông số'!$B$15)^($A5-1)*'Kiểm chứng build'!$O$5)/(Boss!$E$6*'Thông số'!$B$9))/((Boss!$D$6)/'Kiểm chứng build'!$N$5)</f>
        <v/>
      </c>
      <c r="C5" s="27">
        <f>(('Thông số'!$B$14*(1+'Thông số'!$B$15)^($A5-1)*'Kiểm chứng build'!$O$6)/(Boss!$E$6*'Thông số'!$B$9))/((Boss!$D$6)/'Kiểm chứng build'!$N$6)</f>
        <v/>
      </c>
      <c r="D5" s="27">
        <f>(('Thông số'!$B$14*(1+'Thông số'!$B$15)^($A5-1)*'Kiểm chứng build'!$O$7)/(Boss!$E$6*'Thông số'!$B$9))/((Boss!$D$6)/'Kiểm chứng build'!$N$7)</f>
        <v/>
      </c>
      <c r="E5" s="27">
        <f>(('Thông số'!$B$14*(1+'Thông số'!$B$15)^($A5-1)*'Kiểm chứng build'!$O$8)/(Boss!$E$6*'Thông số'!$B$9))/((Boss!$D$6)/'Kiểm chứng build'!$N$8)</f>
        <v/>
      </c>
      <c r="F5" s="27">
        <f>(('Thông số'!$B$14*(1+'Thông số'!$B$15)^($A5-1)*'Kiểm chứng build'!$O$9)/(Boss!$E$6*'Thông số'!$B$9))/((Boss!$D$6)/'Kiểm chứng build'!$N$9)</f>
        <v/>
      </c>
      <c r="G5" s="27">
        <f>(('Thông số'!$B$14*(1+'Thông số'!$B$15)^($A5-1)*'Kiểm chứng build'!$O$10)/(Boss!$E$6*'Thông số'!$B$9))/((Boss!$D$6)/'Kiểm chứng build'!$N$10)</f>
        <v/>
      </c>
    </row>
    <row r="6">
      <c r="A6" s="16">
        <f>Boss!$B$7</f>
        <v/>
      </c>
      <c r="B6" s="27">
        <f>(('Thông số'!$B$14*(1+'Thông số'!$B$15)^($A6-1)*'Kiểm chứng build'!$O$5)/(Boss!$E$7*'Thông số'!$B$9))/((Boss!$D$7)/'Kiểm chứng build'!$N$5)</f>
        <v/>
      </c>
      <c r="C6" s="27">
        <f>(('Thông số'!$B$14*(1+'Thông số'!$B$15)^($A6-1)*'Kiểm chứng build'!$O$6)/(Boss!$E$7*'Thông số'!$B$9))/((Boss!$D$7)/'Kiểm chứng build'!$N$6)</f>
        <v/>
      </c>
      <c r="D6" s="27">
        <f>(('Thông số'!$B$14*(1+'Thông số'!$B$15)^($A6-1)*'Kiểm chứng build'!$O$7)/(Boss!$E$7*'Thông số'!$B$9))/((Boss!$D$7)/'Kiểm chứng build'!$N$7)</f>
        <v/>
      </c>
      <c r="E6" s="27">
        <f>(('Thông số'!$B$14*(1+'Thông số'!$B$15)^($A6-1)*'Kiểm chứng build'!$O$8)/(Boss!$E$7*'Thông số'!$B$9))/((Boss!$D$7)/'Kiểm chứng build'!$N$8)</f>
        <v/>
      </c>
      <c r="F6" s="27">
        <f>(('Thông số'!$B$14*(1+'Thông số'!$B$15)^($A6-1)*'Kiểm chứng build'!$O$9)/(Boss!$E$7*'Thông số'!$B$9))/((Boss!$D$7)/'Kiểm chứng build'!$N$9)</f>
        <v/>
      </c>
      <c r="G6" s="27">
        <f>(('Thông số'!$B$14*(1+'Thông số'!$B$15)^($A6-1)*'Kiểm chứng build'!$O$10)/(Boss!$E$7*'Thông số'!$B$9))/((Boss!$D$7)/'Kiểm chứng build'!$N$10)</f>
        <v/>
      </c>
    </row>
    <row r="7">
      <c r="A7" s="16">
        <f>Boss!$B$8</f>
        <v/>
      </c>
      <c r="B7" s="27">
        <f>(('Thông số'!$B$14*(1+'Thông số'!$B$15)^($A7-1)*'Kiểm chứng build'!$O$5)/(Boss!$E$8*'Thông số'!$B$9))/((Boss!$D$8)/'Kiểm chứng build'!$N$5)</f>
        <v/>
      </c>
      <c r="C7" s="27">
        <f>(('Thông số'!$B$14*(1+'Thông số'!$B$15)^($A7-1)*'Kiểm chứng build'!$O$6)/(Boss!$E$8*'Thông số'!$B$9))/((Boss!$D$8)/'Kiểm chứng build'!$N$6)</f>
        <v/>
      </c>
      <c r="D7" s="27">
        <f>(('Thông số'!$B$14*(1+'Thông số'!$B$15)^($A7-1)*'Kiểm chứng build'!$O$7)/(Boss!$E$8*'Thông số'!$B$9))/((Boss!$D$8)/'Kiểm chứng build'!$N$7)</f>
        <v/>
      </c>
      <c r="E7" s="27">
        <f>(('Thông số'!$B$14*(1+'Thông số'!$B$15)^($A7-1)*'Kiểm chứng build'!$O$8)/(Boss!$E$8*'Thông số'!$B$9))/((Boss!$D$8)/'Kiểm chứng build'!$N$8)</f>
        <v/>
      </c>
      <c r="F7" s="27">
        <f>(('Thông số'!$B$14*(1+'Thông số'!$B$15)^($A7-1)*'Kiểm chứng build'!$O$9)/(Boss!$E$8*'Thông số'!$B$9))/((Boss!$D$8)/'Kiểm chứng build'!$N$9)</f>
        <v/>
      </c>
      <c r="G7" s="27">
        <f>(('Thông số'!$B$14*(1+'Thông số'!$B$15)^($A7-1)*'Kiểm chứng build'!$O$10)/(Boss!$E$8*'Thông số'!$B$9))/((Boss!$D$8)/'Kiểm chứng build'!$N$10)</f>
        <v/>
      </c>
    </row>
    <row r="8">
      <c r="A8" s="16">
        <f>Boss!$B$9</f>
        <v/>
      </c>
      <c r="B8" s="27">
        <f>(('Thông số'!$B$14*(1+'Thông số'!$B$15)^($A8-1)*'Kiểm chứng build'!$O$5)/(Boss!$E$9*'Thông số'!$B$9))/((Boss!$D$9)/'Kiểm chứng build'!$N$5)</f>
        <v/>
      </c>
      <c r="C8" s="27">
        <f>(('Thông số'!$B$14*(1+'Thông số'!$B$15)^($A8-1)*'Kiểm chứng build'!$O$6)/(Boss!$E$9*'Thông số'!$B$9))/((Boss!$D$9)/'Kiểm chứng build'!$N$6)</f>
        <v/>
      </c>
      <c r="D8" s="27">
        <f>(('Thông số'!$B$14*(1+'Thông số'!$B$15)^($A8-1)*'Kiểm chứng build'!$O$7)/(Boss!$E$9*'Thông số'!$B$9))/((Boss!$D$9)/'Kiểm chứng build'!$N$7)</f>
        <v/>
      </c>
      <c r="E8" s="27">
        <f>(('Thông số'!$B$14*(1+'Thông số'!$B$15)^($A8-1)*'Kiểm chứng build'!$O$8)/(Boss!$E$9*'Thông số'!$B$9))/((Boss!$D$9)/'Kiểm chứng build'!$N$8)</f>
        <v/>
      </c>
      <c r="F8" s="27">
        <f>(('Thông số'!$B$14*(1+'Thông số'!$B$15)^($A8-1)*'Kiểm chứng build'!$O$9)/(Boss!$E$9*'Thông số'!$B$9))/((Boss!$D$9)/'Kiểm chứng build'!$N$9)</f>
        <v/>
      </c>
      <c r="G8" s="27">
        <f>(('Thông số'!$B$14*(1+'Thông số'!$B$15)^($A8-1)*'Kiểm chứng build'!$O$10)/(Boss!$E$9*'Thông số'!$B$9))/((Boss!$D$9)/'Kiểm chứng build'!$N$10)</f>
        <v/>
      </c>
    </row>
    <row r="9">
      <c r="A9" s="16">
        <f>Boss!$B$10</f>
        <v/>
      </c>
      <c r="B9" s="27">
        <f>(('Thông số'!$B$14*(1+'Thông số'!$B$15)^($A9-1)*'Kiểm chứng build'!$O$5)/(Boss!$E$10*'Thông số'!$B$9))/((Boss!$D$10)/'Kiểm chứng build'!$N$5)</f>
        <v/>
      </c>
      <c r="C9" s="27">
        <f>(('Thông số'!$B$14*(1+'Thông số'!$B$15)^($A9-1)*'Kiểm chứng build'!$O$6)/(Boss!$E$10*'Thông số'!$B$9))/((Boss!$D$10)/'Kiểm chứng build'!$N$6)</f>
        <v/>
      </c>
      <c r="D9" s="27">
        <f>(('Thông số'!$B$14*(1+'Thông số'!$B$15)^($A9-1)*'Kiểm chứng build'!$O$7)/(Boss!$E$10*'Thông số'!$B$9))/((Boss!$D$10)/'Kiểm chứng build'!$N$7)</f>
        <v/>
      </c>
      <c r="E9" s="27">
        <f>(('Thông số'!$B$14*(1+'Thông số'!$B$15)^($A9-1)*'Kiểm chứng build'!$O$8)/(Boss!$E$10*'Thông số'!$B$9))/((Boss!$D$10)/'Kiểm chứng build'!$N$8)</f>
        <v/>
      </c>
      <c r="F9" s="27">
        <f>(('Thông số'!$B$14*(1+'Thông số'!$B$15)^($A9-1)*'Kiểm chứng build'!$O$9)/(Boss!$E$10*'Thông số'!$B$9))/((Boss!$D$10)/'Kiểm chứng build'!$N$9)</f>
        <v/>
      </c>
      <c r="G9" s="27">
        <f>(('Thông số'!$B$14*(1+'Thông số'!$B$15)^($A9-1)*'Kiểm chứng build'!$O$10)/(Boss!$E$10*'Thông số'!$B$9))/((Boss!$D$10)/'Kiểm chứng build'!$N$10)</f>
        <v/>
      </c>
    </row>
    <row r="10">
      <c r="A10" s="16">
        <f>Boss!$B$11</f>
        <v/>
      </c>
      <c r="B10" s="27">
        <f>(('Thông số'!$B$14*(1+'Thông số'!$B$15)^($A10-1)*'Kiểm chứng build'!$O$5)/(Boss!$E$11*'Thông số'!$B$9))/((Boss!$D$11)/'Kiểm chứng build'!$N$5)</f>
        <v/>
      </c>
      <c r="C10" s="27">
        <f>(('Thông số'!$B$14*(1+'Thông số'!$B$15)^($A10-1)*'Kiểm chứng build'!$O$6)/(Boss!$E$11*'Thông số'!$B$9))/((Boss!$D$11)/'Kiểm chứng build'!$N$6)</f>
        <v/>
      </c>
      <c r="D10" s="27">
        <f>(('Thông số'!$B$14*(1+'Thông số'!$B$15)^($A10-1)*'Kiểm chứng build'!$O$7)/(Boss!$E$11*'Thông số'!$B$9))/((Boss!$D$11)/'Kiểm chứng build'!$N$7)</f>
        <v/>
      </c>
      <c r="E10" s="27">
        <f>(('Thông số'!$B$14*(1+'Thông số'!$B$15)^($A10-1)*'Kiểm chứng build'!$O$8)/(Boss!$E$11*'Thông số'!$B$9))/((Boss!$D$11)/'Kiểm chứng build'!$N$8)</f>
        <v/>
      </c>
      <c r="F10" s="27">
        <f>(('Thông số'!$B$14*(1+'Thông số'!$B$15)^($A10-1)*'Kiểm chứng build'!$O$9)/(Boss!$E$11*'Thông số'!$B$9))/((Boss!$D$11)/'Kiểm chứng build'!$N$9)</f>
        <v/>
      </c>
      <c r="G10" s="27">
        <f>(('Thông số'!$B$14*(1+'Thông số'!$B$15)^($A10-1)*'Kiểm chứng build'!$O$10)/(Boss!$E$11*'Thông số'!$B$9))/((Boss!$D$11)/'Kiểm chứng build'!$N$10)</f>
        <v/>
      </c>
    </row>
    <row r="11">
      <c r="A11" s="16">
        <f>Boss!$B$12</f>
        <v/>
      </c>
      <c r="B11" s="27">
        <f>(('Thông số'!$B$14*(1+'Thông số'!$B$15)^($A11-1)*'Kiểm chứng build'!$O$5)/(Boss!$E$12*'Thông số'!$B$9))/((Boss!$D$12)/'Kiểm chứng build'!$N$5)</f>
        <v/>
      </c>
      <c r="C11" s="27">
        <f>(('Thông số'!$B$14*(1+'Thông số'!$B$15)^($A11-1)*'Kiểm chứng build'!$O$6)/(Boss!$E$12*'Thông số'!$B$9))/((Boss!$D$12)/'Kiểm chứng build'!$N$6)</f>
        <v/>
      </c>
      <c r="D11" s="27">
        <f>(('Thông số'!$B$14*(1+'Thông số'!$B$15)^($A11-1)*'Kiểm chứng build'!$O$7)/(Boss!$E$12*'Thông số'!$B$9))/((Boss!$D$12)/'Kiểm chứng build'!$N$7)</f>
        <v/>
      </c>
      <c r="E11" s="27">
        <f>(('Thông số'!$B$14*(1+'Thông số'!$B$15)^($A11-1)*'Kiểm chứng build'!$O$8)/(Boss!$E$12*'Thông số'!$B$9))/((Boss!$D$12)/'Kiểm chứng build'!$N$8)</f>
        <v/>
      </c>
      <c r="F11" s="27">
        <f>(('Thông số'!$B$14*(1+'Thông số'!$B$15)^($A11-1)*'Kiểm chứng build'!$O$9)/(Boss!$E$12*'Thông số'!$B$9))/((Boss!$D$12)/'Kiểm chứng build'!$N$9)</f>
        <v/>
      </c>
      <c r="G11" s="27">
        <f>(('Thông số'!$B$14*(1+'Thông số'!$B$15)^($A11-1)*'Kiểm chứng build'!$O$10)/(Boss!$E$12*'Thông số'!$B$9))/((Boss!$D$12)/'Kiểm chứng build'!$N$10)</f>
        <v/>
      </c>
    </row>
    <row r="12">
      <c r="A12" s="16">
        <f>Boss!$B$13</f>
        <v/>
      </c>
      <c r="B12" s="27">
        <f>(('Thông số'!$B$14*(1+'Thông số'!$B$15)^($A12-1)*'Kiểm chứng build'!$O$5)/(Boss!$E$13*'Thông số'!$B$9))/((Boss!$D$13)/'Kiểm chứng build'!$N$5)</f>
        <v/>
      </c>
      <c r="C12" s="27">
        <f>(('Thông số'!$B$14*(1+'Thông số'!$B$15)^($A12-1)*'Kiểm chứng build'!$O$6)/(Boss!$E$13*'Thông số'!$B$9))/((Boss!$D$13)/'Kiểm chứng build'!$N$6)</f>
        <v/>
      </c>
      <c r="D12" s="27">
        <f>(('Thông số'!$B$14*(1+'Thông số'!$B$15)^($A12-1)*'Kiểm chứng build'!$O$7)/(Boss!$E$13*'Thông số'!$B$9))/((Boss!$D$13)/'Kiểm chứng build'!$N$7)</f>
        <v/>
      </c>
      <c r="E12" s="27">
        <f>(('Thông số'!$B$14*(1+'Thông số'!$B$15)^($A12-1)*'Kiểm chứng build'!$O$8)/(Boss!$E$13*'Thông số'!$B$9))/((Boss!$D$13)/'Kiểm chứng build'!$N$8)</f>
        <v/>
      </c>
      <c r="F12" s="27">
        <f>(('Thông số'!$B$14*(1+'Thông số'!$B$15)^($A12-1)*'Kiểm chứng build'!$O$9)/(Boss!$E$13*'Thông số'!$B$9))/((Boss!$D$13)/'Kiểm chứng build'!$N$9)</f>
        <v/>
      </c>
      <c r="G12" s="27">
        <f>(('Thông số'!$B$14*(1+'Thông số'!$B$15)^($A12-1)*'Kiểm chứng build'!$O$10)/(Boss!$E$13*'Thông số'!$B$9))/((Boss!$D$13)/'Kiểm chứng build'!$N$10)</f>
        <v/>
      </c>
    </row>
    <row r="13">
      <c r="A13" s="16">
        <f>Boss!$B$14</f>
        <v/>
      </c>
      <c r="B13" s="27">
        <f>(('Thông số'!$B$14*(1+'Thông số'!$B$15)^($A13-1)*'Kiểm chứng build'!$O$5)/(Boss!$E$14*'Thông số'!$B$9))/((Boss!$D$14)/'Kiểm chứng build'!$N$5)</f>
        <v/>
      </c>
      <c r="C13" s="27">
        <f>(('Thông số'!$B$14*(1+'Thông số'!$B$15)^($A13-1)*'Kiểm chứng build'!$O$6)/(Boss!$E$14*'Thông số'!$B$9))/((Boss!$D$14)/'Kiểm chứng build'!$N$6)</f>
        <v/>
      </c>
      <c r="D13" s="27">
        <f>(('Thông số'!$B$14*(1+'Thông số'!$B$15)^($A13-1)*'Kiểm chứng build'!$O$7)/(Boss!$E$14*'Thông số'!$B$9))/((Boss!$D$14)/'Kiểm chứng build'!$N$7)</f>
        <v/>
      </c>
      <c r="E13" s="27">
        <f>(('Thông số'!$B$14*(1+'Thông số'!$B$15)^($A13-1)*'Kiểm chứng build'!$O$8)/(Boss!$E$14*'Thông số'!$B$9))/((Boss!$D$14)/'Kiểm chứng build'!$N$8)</f>
        <v/>
      </c>
      <c r="F13" s="27">
        <f>(('Thông số'!$B$14*(1+'Thông số'!$B$15)^($A13-1)*'Kiểm chứng build'!$O$9)/(Boss!$E$14*'Thông số'!$B$9))/((Boss!$D$14)/'Kiểm chứng build'!$N$9)</f>
        <v/>
      </c>
      <c r="G13" s="27">
        <f>(('Thông số'!$B$14*(1+'Thông số'!$B$15)^($A13-1)*'Kiểm chứng build'!$O$10)/(Boss!$E$14*'Thông số'!$B$9))/((Boss!$D$14)/'Kiểm chứng build'!$N$10)</f>
        <v/>
      </c>
    </row>
    <row r="14">
      <c r="A14" s="16">
        <f>Boss!$B$15</f>
        <v/>
      </c>
      <c r="B14" s="27">
        <f>(('Thông số'!$B$14*(1+'Thông số'!$B$15)^($A14-1)*'Kiểm chứng build'!$O$5)/(Boss!$E$15*'Thông số'!$B$9))/((Boss!$D$15)/'Kiểm chứng build'!$N$5)</f>
        <v/>
      </c>
      <c r="C14" s="27">
        <f>(('Thông số'!$B$14*(1+'Thông số'!$B$15)^($A14-1)*'Kiểm chứng build'!$O$6)/(Boss!$E$15*'Thông số'!$B$9))/((Boss!$D$15)/'Kiểm chứng build'!$N$6)</f>
        <v/>
      </c>
      <c r="D14" s="27">
        <f>(('Thông số'!$B$14*(1+'Thông số'!$B$15)^($A14-1)*'Kiểm chứng build'!$O$7)/(Boss!$E$15*'Thông số'!$B$9))/((Boss!$D$15)/'Kiểm chứng build'!$N$7)</f>
        <v/>
      </c>
      <c r="E14" s="27">
        <f>(('Thông số'!$B$14*(1+'Thông số'!$B$15)^($A14-1)*'Kiểm chứng build'!$O$8)/(Boss!$E$15*'Thông số'!$B$9))/((Boss!$D$15)/'Kiểm chứng build'!$N$8)</f>
        <v/>
      </c>
      <c r="F14" s="27">
        <f>(('Thông số'!$B$14*(1+'Thông số'!$B$15)^($A14-1)*'Kiểm chứng build'!$O$9)/(Boss!$E$15*'Thông số'!$B$9))/((Boss!$D$15)/'Kiểm chứng build'!$N$9)</f>
        <v/>
      </c>
      <c r="G14" s="27">
        <f>(('Thông số'!$B$14*(1+'Thông số'!$B$15)^($A14-1)*'Kiểm chứng build'!$O$10)/(Boss!$E$15*'Thông số'!$B$9))/((Boss!$D$15)/'Kiểm chứng build'!$N$10)</f>
        <v/>
      </c>
    </row>
    <row r="16">
      <c r="A16" s="3" t="inlineStr">
        <is>
          <t>Boss đạt</t>
        </is>
      </c>
      <c r="B16" s="25">
        <f>COUNTIF(B5:B14,"&gt;="&amp;'Thông số'!$B$40)&amp;" / 10"</f>
        <v/>
      </c>
      <c r="C16" s="25">
        <f>COUNTIF(C5:C14,"&gt;="&amp;'Thông số'!$B$40)&amp;" / 10"</f>
        <v/>
      </c>
      <c r="D16" s="25">
        <f>COUNTIF(D5:D14,"&gt;="&amp;'Thông số'!$B$40)&amp;" / 10"</f>
        <v/>
      </c>
      <c r="E16" s="25">
        <f>COUNTIF(E5:E14,"&gt;="&amp;'Thông số'!$B$40)&amp;" / 10"</f>
        <v/>
      </c>
      <c r="F16" s="25">
        <f>COUNTIF(F5:F14,"&gt;="&amp;'Thông số'!$B$40)&amp;" / 10"</f>
        <v/>
      </c>
      <c r="G16" s="25">
        <f>COUNTIF(G5:G14,"&gt;="&amp;'Thông số'!$B$40)&amp;" / 10"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2026-09-12T09:55:55Z</dcterms:created>
  <dcterms:modified xmlns:dcterms="http://purl.org/dc/terms/" xmlns:xsi="http://www.w3.org/2001/XMLSchema-instance" xsi:type="dcterms:W3CDTF">2026-09-12T12:27:27Z</dcterms:modified>
</cp:coreProperties>
</file>